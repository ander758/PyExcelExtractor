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8" codeName="{00000000-0000-0000-0000-000000000000}"/>
  <workbookPr defaultThemeVersion="166925"/>
  <xr:revisionPtr revIDLastSave="14" documentId="11_A2609206368F5FC6091819C3794A85A953C6322C" xr6:coauthVersionLast="46" xr6:coauthVersionMax="46" xr10:uidLastSave="{A899E76D-2EF8-433B-9787-08EC816A24AD}"/>
  <bookViews>
    <workbookView xWindow="0" yWindow="0" windowWidth="16384" windowHeight="8192" tabRatio="500" firstSheet="4" activeTab="3" xr2:uid="{00000000-000D-0000-FFFF-FFFF00000000}"/>
  </bookViews>
  <sheets>
    <sheet name="template" sheetId="1" r:id="rId1"/>
    <sheet name="Uke4" sheetId="2" r:id="rId2"/>
    <sheet name="Uke5" sheetId="3" r:id="rId3"/>
    <sheet name="Uke6" sheetId="4" r:id="rId4"/>
    <sheet name="Uke7" sheetId="5" r:id="rId5"/>
  </sheets>
  <calcPr calcId="191028" iterateDelta="1E-4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1" i="5" l="1"/>
  <c r="D20" i="5"/>
  <c r="D19" i="5"/>
  <c r="D18" i="5"/>
  <c r="D17" i="5"/>
  <c r="D16" i="5"/>
  <c r="D15" i="5"/>
  <c r="D14" i="5"/>
  <c r="D13" i="5"/>
  <c r="D12" i="5"/>
  <c r="D11" i="5"/>
  <c r="D10" i="5"/>
  <c r="A10" i="5"/>
  <c r="D7" i="5"/>
  <c r="E7" i="5" s="1"/>
  <c r="D6" i="5"/>
  <c r="E6" i="5" s="1"/>
  <c r="D5" i="5"/>
  <c r="E5" i="5" s="1"/>
  <c r="D4" i="5"/>
  <c r="A4" i="5"/>
  <c r="B4" i="5" s="1"/>
  <c r="A1" i="5"/>
  <c r="D21" i="4"/>
  <c r="D20" i="4"/>
  <c r="D19" i="4"/>
  <c r="D18" i="4"/>
  <c r="A18" i="4"/>
  <c r="D17" i="4"/>
  <c r="A17" i="4"/>
  <c r="D16" i="4"/>
  <c r="A16" i="4"/>
  <c r="D15" i="4"/>
  <c r="A15" i="4"/>
  <c r="D14" i="4"/>
  <c r="A14" i="4"/>
  <c r="D13" i="4"/>
  <c r="A13" i="4"/>
  <c r="D12" i="4"/>
  <c r="A12" i="4"/>
  <c r="D11" i="4"/>
  <c r="A11" i="4"/>
  <c r="D10" i="4"/>
  <c r="A10" i="4"/>
  <c r="D7" i="4"/>
  <c r="E7" i="4" s="1"/>
  <c r="D6" i="4"/>
  <c r="E6" i="4" s="1"/>
  <c r="D5" i="4"/>
  <c r="E5" i="4" s="1"/>
  <c r="D4" i="4"/>
  <c r="A4" i="4"/>
  <c r="B4" i="4" s="1"/>
  <c r="A1" i="4"/>
  <c r="D25" i="3"/>
  <c r="D24" i="3"/>
  <c r="D23" i="3"/>
  <c r="A23" i="3"/>
  <c r="D22" i="3"/>
  <c r="A22" i="3"/>
  <c r="D21" i="3"/>
  <c r="A21" i="3"/>
  <c r="D20" i="3"/>
  <c r="A20" i="3"/>
  <c r="D19" i="3"/>
  <c r="A19" i="3"/>
  <c r="D18" i="3"/>
  <c r="A18" i="3"/>
  <c r="D17" i="3"/>
  <c r="A17" i="3"/>
  <c r="D16" i="3"/>
  <c r="A16" i="3"/>
  <c r="D15" i="3"/>
  <c r="A15" i="3"/>
  <c r="D14" i="3"/>
  <c r="A14" i="3"/>
  <c r="D13" i="3"/>
  <c r="A13" i="3"/>
  <c r="D12" i="3"/>
  <c r="A12" i="3"/>
  <c r="D11" i="3"/>
  <c r="A11" i="3"/>
  <c r="D10" i="3"/>
  <c r="A10" i="3"/>
  <c r="D7" i="3"/>
  <c r="E7" i="3" s="1"/>
  <c r="D6" i="3"/>
  <c r="E6" i="3" s="1"/>
  <c r="D5" i="3"/>
  <c r="E5" i="3" s="1"/>
  <c r="D4" i="3"/>
  <c r="A4" i="3"/>
  <c r="B4" i="3" s="1"/>
  <c r="A1" i="3"/>
  <c r="D21" i="2"/>
  <c r="D20" i="2"/>
  <c r="D19" i="2"/>
  <c r="D18" i="2"/>
  <c r="D17" i="2"/>
  <c r="D15" i="2"/>
  <c r="D13" i="2"/>
  <c r="D12" i="2"/>
  <c r="A12" i="2"/>
  <c r="D11" i="2"/>
  <c r="A11" i="2"/>
  <c r="D10" i="2"/>
  <c r="A10" i="2"/>
  <c r="D7" i="2"/>
  <c r="E7" i="2" s="1"/>
  <c r="D6" i="2"/>
  <c r="E6" i="2" s="1"/>
  <c r="D5" i="2"/>
  <c r="E5" i="2" s="1"/>
  <c r="D4" i="2"/>
  <c r="A4" i="2"/>
  <c r="B4" i="2" s="1"/>
  <c r="A1" i="2"/>
  <c r="D21" i="1"/>
  <c r="D20" i="1"/>
  <c r="D19" i="1"/>
  <c r="D18" i="1"/>
  <c r="D17" i="1"/>
  <c r="D16" i="1"/>
  <c r="D15" i="1"/>
  <c r="D14" i="1"/>
  <c r="D13" i="1"/>
  <c r="D12" i="1"/>
  <c r="D11" i="1"/>
  <c r="D10" i="1"/>
  <c r="D7" i="1"/>
  <c r="E7" i="1" s="1"/>
  <c r="D6" i="1"/>
  <c r="E6" i="1" s="1"/>
  <c r="D5" i="1"/>
  <c r="E5" i="1" s="1"/>
  <c r="D4" i="1"/>
  <c r="B4" i="1"/>
  <c r="A4" i="1"/>
  <c r="A1" i="1"/>
  <c r="B5" i="1" l="1"/>
  <c r="A5" i="1"/>
  <c r="A6" i="1"/>
  <c r="B6" i="1" s="1"/>
  <c r="E4" i="1"/>
  <c r="B5" i="2"/>
  <c r="A5" i="2"/>
  <c r="A6" i="2"/>
  <c r="B6" i="2" s="1"/>
  <c r="E4" i="2"/>
  <c r="B5" i="3"/>
  <c r="A5" i="3"/>
  <c r="A6" i="3"/>
  <c r="B6" i="3" s="1"/>
  <c r="E4" i="3"/>
  <c r="B5" i="4"/>
  <c r="A5" i="4"/>
  <c r="A6" i="4"/>
  <c r="B6" i="4" s="1"/>
  <c r="E4" i="4"/>
  <c r="B5" i="5"/>
  <c r="A5" i="5"/>
  <c r="A6" i="5"/>
  <c r="B6" i="5" s="1"/>
  <c r="E4" i="5"/>
</calcChain>
</file>

<file path=xl/sharedStrings.xml><?xml version="1.0" encoding="utf-8"?>
<sst xmlns="http://schemas.openxmlformats.org/spreadsheetml/2006/main" count="128" uniqueCount="38">
  <si>
    <t>Fra dato</t>
  </si>
  <si>
    <t>Til dato</t>
  </si>
  <si>
    <t>Type arbeid</t>
  </si>
  <si>
    <t>Timer per type arbeid</t>
  </si>
  <si>
    <t>Timer totalt brukt</t>
  </si>
  <si>
    <t>Teori</t>
  </si>
  <si>
    <t>Utvikling</t>
  </si>
  <si>
    <t>Administrativt</t>
  </si>
  <si>
    <t>Logg/oppgaver</t>
  </si>
  <si>
    <t>Dato</t>
  </si>
  <si>
    <t>Starttidspunkt</t>
  </si>
  <si>
    <t>Sluttidspunkt</t>
  </si>
  <si>
    <t>Antall timer</t>
  </si>
  <si>
    <t>Type arbeid: forklaring</t>
  </si>
  <si>
    <t>Itemnr #</t>
  </si>
  <si>
    <t>Oppsummering</t>
  </si>
  <si>
    <t>Administrativt: Møte med veiledere</t>
  </si>
  <si>
    <t>N/A</t>
  </si>
  <si>
    <t>Oppgaver: Jobbet med forprosjekt</t>
  </si>
  <si>
    <t>Administrativt: Møte, forberedelse for møte med Fly Lavt AS. Jobbet videre med forprosjektet</t>
  </si>
  <si>
    <t>Administrativt: Formalisering Kravspec</t>
  </si>
  <si>
    <t>Administrativt: Forberedelse møte</t>
  </si>
  <si>
    <t>Administrativt: Møte med Fly Lavt AS</t>
  </si>
  <si>
    <t>Administrativt: Møte med gruppa og jobbing med forprosjekt</t>
  </si>
  <si>
    <t>2</t>
  </si>
  <si>
    <t>Utvikling: Initiell side, initialisert git-repo</t>
  </si>
  <si>
    <t>11</t>
  </si>
  <si>
    <t>Oppgaver: Forprosjekt</t>
  </si>
  <si>
    <t>Administrativt: Møte med Veileder</t>
  </si>
  <si>
    <t>Oppgaver:Ferdigstillte og leverte Forprosjekt</t>
  </si>
  <si>
    <t>Oppgaver: Kravspec.</t>
  </si>
  <si>
    <t>8</t>
  </si>
  <si>
    <t>Oppgaver: Kravspec</t>
  </si>
  <si>
    <t>Administrativt: Formelt Møte 1</t>
  </si>
  <si>
    <t>Oppgaver: Kravspec, Forprosjekt v1.2</t>
  </si>
  <si>
    <t>2,8</t>
  </si>
  <si>
    <t>Administrativt: Møte FlyLavt</t>
  </si>
  <si>
    <t>Administrativt: Sendte UiT-kontrakter til FlyLavt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</si>
</sst>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&quot;, &quot;mmmm\ dd&quot;, &quot;yyyy"/>
    <numFmt numFmtId="165" formatCode="[hh]:mm"/>
    <numFmt numFmtId="166" formatCode="yyyy\-mm\-dd;@"/>
    <numFmt numFmtId="167" formatCode="hh:mm;@"/>
    <numFmt numFmtId="168" formatCode="[$-414]yyyy\-mm\-dd\ ddd\/"/>
  </numFmts>
  <fonts count="6">
    <font>
      <sz val="11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sz val="16"/>
      <color rgb="FFFF000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E2F0D9"/>
        <bgColor rgb="FFDEEBF7"/>
      </patternFill>
    </fill>
    <fill>
      <patternFill patternType="solid">
        <fgColor rgb="FFD9D9D9"/>
        <bgColor rgb="FFDEEBF7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rgb="FF993300"/>
      </patternFill>
    </fill>
    <fill>
      <patternFill patternType="solid">
        <fgColor rgb="FFA9D18E"/>
        <bgColor rgb="FFB4C7E7"/>
      </patternFill>
    </fill>
    <fill>
      <patternFill patternType="solid">
        <fgColor rgb="FF8FAADC"/>
        <bgColor rgb="FF9DC3E6"/>
      </patternFill>
    </fill>
    <fill>
      <patternFill patternType="solid">
        <fgColor rgb="FFFFD966"/>
        <bgColor rgb="FFFFFF99"/>
      </patternFill>
    </fill>
    <fill>
      <patternFill patternType="solid">
        <fgColor rgb="FFA6A6A6"/>
        <bgColor rgb="FF8FAADC"/>
      </patternFill>
    </fill>
    <fill>
      <patternFill patternType="solid">
        <fgColor rgb="FF5B9BD5"/>
        <bgColor rgb="FF8FAADC"/>
      </patternFill>
    </fill>
    <fill>
      <patternFill patternType="solid">
        <fgColor rgb="FFDEEBF7"/>
        <bgColor rgb="FFE2F0D9"/>
      </patternFill>
    </fill>
  </fills>
  <borders count="34">
    <border>
      <left/>
      <right/>
      <top/>
      <bottom/>
      <diagonal/>
    </border>
    <border>
      <left style="medium">
        <color auto="1"/>
      </left>
      <right style="dotted">
        <color auto="1"/>
      </right>
      <top style="thick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thick">
        <color auto="1"/>
      </top>
      <bottom style="double">
        <color auto="1"/>
      </bottom>
      <diagonal/>
    </border>
    <border>
      <left style="dotted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medium">
        <color auto="1"/>
      </right>
      <top style="thick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rgb="FFB4C7E7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rgb="FFB4C7E7"/>
      </bottom>
      <diagonal/>
    </border>
    <border>
      <left/>
      <right style="medium">
        <color auto="1"/>
      </right>
      <top style="thin">
        <color rgb="FFB4C7E7"/>
      </top>
      <bottom style="thin">
        <color rgb="FFB4C7E7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rgb="FFB4C7E7"/>
      </top>
      <bottom style="thin">
        <color rgb="FFB4C7E7"/>
      </bottom>
      <diagonal/>
    </border>
    <border>
      <left style="thin">
        <color auto="1"/>
      </left>
      <right style="thin">
        <color auto="1"/>
      </right>
      <top style="thin">
        <color rgb="FFB4C7E7"/>
      </top>
      <bottom style="thin">
        <color rgb="FFB4C7E7"/>
      </bottom>
      <diagonal/>
    </border>
    <border>
      <left style="thin">
        <color auto="1"/>
      </left>
      <right style="thin">
        <color auto="1"/>
      </right>
      <top style="thin">
        <color rgb="FF9DC3E6"/>
      </top>
      <bottom style="thin">
        <color rgb="FFB4C7E7"/>
      </bottom>
      <diagonal/>
    </border>
    <border>
      <left style="thin">
        <color auto="1"/>
      </left>
      <right style="thin">
        <color auto="1"/>
      </right>
      <top/>
      <bottom style="thin">
        <color rgb="FFB4C7E7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/>
    <xf numFmtId="0" fontId="1" fillId="2" borderId="3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2" fillId="3" borderId="6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0" fontId="2" fillId="3" borderId="8" xfId="0" applyFont="1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wrapText="1"/>
    </xf>
    <xf numFmtId="0" fontId="2" fillId="3" borderId="10" xfId="0" applyFont="1" applyFill="1" applyBorder="1" applyAlignment="1">
      <alignment horizontal="center" wrapText="1"/>
    </xf>
    <xf numFmtId="164" fontId="3" fillId="4" borderId="6" xfId="0" applyNumberFormat="1" applyFont="1" applyFill="1" applyBorder="1" applyAlignment="1">
      <alignment horizontal="center" wrapText="1"/>
    </xf>
    <xf numFmtId="164" fontId="3" fillId="4" borderId="11" xfId="0" applyNumberFormat="1" applyFont="1" applyFill="1" applyBorder="1" applyAlignment="1">
      <alignment horizontal="center" wrapText="1"/>
    </xf>
    <xf numFmtId="0" fontId="2" fillId="5" borderId="6" xfId="0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9" borderId="17" xfId="0" applyFill="1" applyBorder="1"/>
    <xf numFmtId="0" fontId="0" fillId="9" borderId="11" xfId="0" applyFill="1" applyBorder="1"/>
    <xf numFmtId="0" fontId="0" fillId="9" borderId="18" xfId="0" applyFill="1" applyBorder="1"/>
    <xf numFmtId="0" fontId="0" fillId="9" borderId="12" xfId="0" applyFill="1" applyBorder="1"/>
    <xf numFmtId="0" fontId="4" fillId="10" borderId="19" xfId="0" applyFont="1" applyFill="1" applyBorder="1" applyAlignment="1">
      <alignment horizontal="center"/>
    </xf>
    <xf numFmtId="0" fontId="4" fillId="10" borderId="20" xfId="0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168" fontId="0" fillId="11" borderId="22" xfId="0" applyNumberFormat="1" applyFont="1" applyFill="1" applyBorder="1" applyAlignment="1">
      <alignment horizontal="left"/>
    </xf>
    <xf numFmtId="165" fontId="0" fillId="11" borderId="23" xfId="0" applyNumberFormat="1" applyFont="1" applyFill="1" applyBorder="1" applyAlignment="1">
      <alignment horizontal="center"/>
    </xf>
    <xf numFmtId="0" fontId="0" fillId="11" borderId="23" xfId="0" applyFont="1" applyFill="1" applyBorder="1" applyAlignment="1"/>
    <xf numFmtId="49" fontId="0" fillId="11" borderId="24" xfId="0" applyNumberFormat="1" applyFill="1" applyBorder="1" applyAlignment="1"/>
    <xf numFmtId="168" fontId="0" fillId="0" borderId="19" xfId="0" applyNumberFormat="1" applyFont="1" applyBorder="1" applyAlignment="1">
      <alignment horizontal="left"/>
    </xf>
    <xf numFmtId="165" fontId="0" fillId="0" borderId="25" xfId="0" applyNumberFormat="1" applyFont="1" applyBorder="1" applyAlignment="1">
      <alignment horizontal="center"/>
    </xf>
    <xf numFmtId="0" fontId="0" fillId="0" borderId="25" xfId="0" applyFont="1" applyBorder="1" applyAlignment="1"/>
    <xf numFmtId="49" fontId="0" fillId="0" borderId="26" xfId="0" applyNumberFormat="1" applyBorder="1"/>
    <xf numFmtId="168" fontId="0" fillId="11" borderId="27" xfId="0" applyNumberFormat="1" applyFont="1" applyFill="1" applyBorder="1" applyAlignment="1">
      <alignment horizontal="left"/>
    </xf>
    <xf numFmtId="165" fontId="0" fillId="11" borderId="28" xfId="0" applyNumberFormat="1" applyFont="1" applyFill="1" applyBorder="1" applyAlignment="1">
      <alignment horizontal="center"/>
    </xf>
    <xf numFmtId="0" fontId="0" fillId="11" borderId="28" xfId="0" applyFont="1" applyFill="1" applyBorder="1" applyAlignment="1"/>
    <xf numFmtId="168" fontId="0" fillId="0" borderId="19" xfId="0" applyNumberFormat="1" applyBorder="1" applyAlignment="1">
      <alignment horizontal="left"/>
    </xf>
    <xf numFmtId="165" fontId="0" fillId="0" borderId="25" xfId="0" applyNumberFormat="1" applyBorder="1" applyAlignment="1">
      <alignment horizontal="center"/>
    </xf>
    <xf numFmtId="165" fontId="0" fillId="0" borderId="29" xfId="0" applyNumberFormat="1" applyFont="1" applyBorder="1" applyAlignment="1">
      <alignment horizontal="center"/>
    </xf>
    <xf numFmtId="168" fontId="0" fillId="0" borderId="27" xfId="0" applyNumberFormat="1" applyBorder="1" applyAlignment="1">
      <alignment horizontal="left"/>
    </xf>
    <xf numFmtId="165" fontId="0" fillId="11" borderId="28" xfId="0" applyNumberFormat="1" applyFill="1" applyBorder="1" applyAlignment="1">
      <alignment horizontal="center"/>
    </xf>
    <xf numFmtId="0" fontId="0" fillId="11" borderId="28" xfId="0" applyFill="1" applyBorder="1" applyAlignment="1"/>
    <xf numFmtId="165" fontId="0" fillId="0" borderId="30" xfId="0" applyNumberFormat="1" applyFont="1" applyBorder="1" applyAlignment="1">
      <alignment horizontal="center"/>
    </xf>
    <xf numFmtId="0" fontId="0" fillId="0" borderId="25" xfId="0" applyBorder="1" applyAlignment="1"/>
    <xf numFmtId="168" fontId="0" fillId="11" borderId="27" xfId="0" applyNumberFormat="1" applyFill="1" applyBorder="1" applyAlignment="1">
      <alignment horizontal="left"/>
    </xf>
    <xf numFmtId="168" fontId="0" fillId="0" borderId="31" xfId="0" applyNumberFormat="1" applyBorder="1" applyAlignment="1">
      <alignment horizontal="left"/>
    </xf>
    <xf numFmtId="165" fontId="0" fillId="0" borderId="32" xfId="0" applyNumberFormat="1" applyBorder="1"/>
    <xf numFmtId="165" fontId="0" fillId="0" borderId="32" xfId="0" applyNumberFormat="1" applyFont="1" applyBorder="1" applyAlignment="1">
      <alignment horizontal="center"/>
    </xf>
    <xf numFmtId="0" fontId="0" fillId="0" borderId="32" xfId="0" applyBorder="1" applyAlignment="1"/>
    <xf numFmtId="49" fontId="0" fillId="0" borderId="33" xfId="0" applyNumberFormat="1" applyBorder="1"/>
    <xf numFmtId="0" fontId="5" fillId="0" borderId="6" xfId="0" applyFont="1" applyBorder="1"/>
    <xf numFmtId="0" fontId="0" fillId="0" borderId="0" xfId="0" applyBorder="1"/>
    <xf numFmtId="49" fontId="0" fillId="11" borderId="24" xfId="0" applyNumberFormat="1" applyFont="1" applyFill="1" applyBorder="1" applyAlignment="1"/>
    <xf numFmtId="168" fontId="0" fillId="0" borderId="27" xfId="0" applyNumberFormat="1" applyFont="1" applyBorder="1" applyAlignment="1">
      <alignment horizontal="left"/>
    </xf>
  </cellXfs>
  <cellStyles count="1">
    <cellStyle name="Normal" xfId="0" builtinId="0"/>
  </cellStyles>
  <dxfs count="280">
    <dxf>
      <fill>
        <patternFill>
          <bgColor rgb="FFDEEBF7"/>
        </patternFill>
      </fill>
    </dxf>
    <dxf>
      <numFmt numFmtId="169" formatCode="0;0;;@"/>
      <fill>
        <patternFill>
          <bgColor rgb="FFFFFFFF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numFmt numFmtId="169" formatCode="0;0;;@"/>
      <fill>
        <patternFill>
          <bgColor rgb="FFFFFFFF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ill>
        <patternFill>
          <bgColor rgb="FFDEEBF7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numFmt numFmtId="169" formatCode="0;0;;@"/>
      <fill>
        <patternFill>
          <bgColor rgb="FFFFFFFF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numFmt numFmtId="169" formatCode="0;0;;@"/>
      <fill>
        <patternFill>
          <bgColor rgb="FFFFFFFF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A9D18E"/>
        </patternFill>
      </fill>
    </dxf>
    <dxf>
      <fill>
        <patternFill>
          <bgColor rgb="FF8FAADC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FFD966"/>
        </patternFill>
      </fill>
    </dxf>
    <dxf>
      <fill>
        <patternFill>
          <bgColor rgb="FFDEEBF7"/>
        </patternFill>
      </fill>
    </dxf>
    <dxf>
      <numFmt numFmtId="169" formatCode="0;0;;@"/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5B9BD5"/>
      <rgbColor rgb="FF8FAADC"/>
      <rgbColor rgb="FF993366"/>
      <rgbColor rgb="FFFFFFCC"/>
      <rgbColor rgb="FFDE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DC3E6"/>
      <rgbColor rgb="FFFF99CC"/>
      <rgbColor rgb="FFCC99FF"/>
      <rgbColor rgb="FFFFD966"/>
      <rgbColor rgb="FF3366FF"/>
      <rgbColor rgb="FF33CCCC"/>
      <rgbColor rgb="FFA9D18E"/>
      <rgbColor rgb="FFFFC0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1080</xdr:rowOff>
    </xdr:from>
    <xdr:to>
      <xdr:col>6</xdr:col>
      <xdr:colOff>569520</xdr:colOff>
      <xdr:row>26</xdr:row>
      <xdr:rowOff>175680</xdr:rowOff>
    </xdr:to>
    <xdr:sp macro="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4877640"/>
          <a:ext cx="7541640" cy="93672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1080</xdr:rowOff>
    </xdr:from>
    <xdr:to>
      <xdr:col>5</xdr:col>
      <xdr:colOff>488880</xdr:colOff>
      <xdr:row>37</xdr:row>
      <xdr:rowOff>180000</xdr:rowOff>
    </xdr:to>
    <xdr:sp macro="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4845960"/>
          <a:ext cx="7542360" cy="303624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Leder: Anders</a:t>
          </a:r>
          <a:br/>
          <a:r>
            <a:rPr lang="nb-NO" sz="1100" b="0" strike="noStrike" spc="-1">
              <a:solidFill>
                <a:srgbClr val="000000"/>
              </a:solidFill>
              <a:latin typeface="Calibri"/>
            </a:rPr>
            <a:t>Uke 4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Mandag: Møte med hovedveileder og assissterende veileder. Gikk gjennom punktene fra sakslisten. Her Anders leder for møtet og Alexander referent.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Onsdag: Jobbet en del videre med dokumentasjon som var påbegynnt før loggen ble tatt i bruk...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Søndag: Kort forberedende møte vedrørende møte med FlyLavt, mandag 01/02-2021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Annet: Ikke jobbet så mye denne uken grunnet private anliggende.</a:t>
          </a: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62640</xdr:rowOff>
    </xdr:from>
    <xdr:to>
      <xdr:col>5</xdr:col>
      <xdr:colOff>489240</xdr:colOff>
      <xdr:row>42</xdr:row>
      <xdr:rowOff>51120</xdr:rowOff>
    </xdr:to>
    <xdr:sp macro="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5546160"/>
          <a:ext cx="7677360" cy="279288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Leder: Anders</a:t>
          </a:r>
          <a:br/>
          <a:r>
            <a:rPr lang="nb-NO" sz="1100" b="0" strike="noStrike" spc="-1">
              <a:solidFill>
                <a:srgbClr val="000000"/>
              </a:solidFill>
              <a:latin typeface="Calibri"/>
            </a:rPr>
            <a:t>Uke 5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Mandag: Første møte med Fly Lavt AS hvor vi diskuterte oppgaven og teknologi vi tenker å benytte. Opprettet Telegram-chatrom for enklere kommunikasjon samt inviterte dem til gruppas Trello-prosjekt. Jobbet videre med forprosjektet. Opprettet Git-repo på coderefinery og pushet grunnleggende side.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Tirsdag: Jobbet med forprosjektet, uformellt møte med veiledere.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Onsdag: Ferdigstillte forprosjektet.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Lørdag: Begynte å jobbe med kravspec til prosjektet.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Søndag: Fortsatte å jobbe med kravspec til prosjektet. Begynte på Wirefram/Mockup av UI.</a:t>
          </a: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90000</xdr:rowOff>
    </xdr:from>
    <xdr:to>
      <xdr:col>5</xdr:col>
      <xdr:colOff>489240</xdr:colOff>
      <xdr:row>38</xdr:row>
      <xdr:rowOff>78840</xdr:rowOff>
    </xdr:to>
    <xdr:sp macro="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4809240"/>
          <a:ext cx="7677360" cy="303660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Leder: Anders</a:t>
          </a:r>
          <a:br/>
          <a:r>
            <a:rPr lang="nb-NO" sz="1100" b="0" strike="noStrike" spc="-1">
              <a:solidFill>
                <a:srgbClr val="000000"/>
              </a:solidFill>
              <a:latin typeface="Calibri"/>
            </a:rPr>
            <a:t>Uke 6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Mandag: Ferdigstillte grunnleggende mockup av ui med enkel funksjonalitet for navigasjon, fortsatte på kravspec.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Tirsdag: Jobbet videre med kravspec. Formelt møte 1 med veiledere.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Onsdag: Jobbet videre med kravspec, forberedt møte med FlyLavt 11/02-2021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Torsdag: Møte med FlyLavt for å diskutere kravspec. Jobbe videre me kravspec.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Fredag: Sendte Standard-kontrakter fra uit vedr. Rettigheter etc. Til FlyLavt.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Søndag: Jobbet videre med kravspec.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90000</xdr:rowOff>
    </xdr:from>
    <xdr:to>
      <xdr:col>5</xdr:col>
      <xdr:colOff>489240</xdr:colOff>
      <xdr:row>38</xdr:row>
      <xdr:rowOff>78840</xdr:rowOff>
    </xdr:to>
    <xdr:sp macro="" textlink="">
      <xdr:nvSpPr>
        <xdr:cNvPr id="4" name="Custom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0" y="4809240"/>
          <a:ext cx="7677360" cy="303660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Leder: Aleksander</a:t>
          </a:r>
          <a:br/>
          <a:r>
            <a:rPr lang="nb-NO" sz="1100" b="0" strike="noStrike" spc="-1">
              <a:solidFill>
                <a:srgbClr val="000000"/>
              </a:solidFill>
              <a:latin typeface="Calibri"/>
            </a:rPr>
            <a:t>Uke 7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r>
            <a:rPr lang="nb-NO" sz="1100" b="0" strike="noStrike" spc="-1">
              <a:solidFill>
                <a:srgbClr val="000000"/>
              </a:solidFill>
              <a:latin typeface="Calibri"/>
            </a:rPr>
            <a:t>Mandag: Jobbet videre med kravspec-dokument.</a:t>
          </a:r>
          <a:endParaRPr lang="en-US" sz="1100" b="0" strike="noStrike" spc="-1">
            <a:latin typeface="Times New Roman"/>
          </a:endParaRPr>
        </a:p>
        <a:p>
          <a:pPr>
            <a:lnSpc>
              <a:spcPct val="100000"/>
            </a:lnSpc>
            <a:tabLst>
              <a:tab pos="0" algn="l"/>
            </a:tabLst>
          </a:pP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F27"/>
  <sheetViews>
    <sheetView topLeftCell="A7" zoomScale="140" zoomScaleNormal="140" workbookViewId="0">
      <selection activeCell="B6" sqref="B6"/>
    </sheetView>
  </sheetViews>
  <sheetFormatPr defaultColWidth="11.5703125" defaultRowHeight="15"/>
  <cols>
    <col min="1" max="1" width="17.85546875" customWidth="1"/>
    <col min="2" max="2" width="18.7109375" customWidth="1"/>
    <col min="3" max="3" width="12" customWidth="1"/>
    <col min="4" max="4" width="14.7109375" customWidth="1"/>
    <col min="5" max="5" width="25.7109375" customWidth="1"/>
    <col min="6" max="6" width="9.85546875" customWidth="1"/>
  </cols>
  <sheetData>
    <row r="1" spans="1:6" ht="24.75">
      <c r="A1" s="1" t="str">
        <f>_xlfn.CONCAT("Timeliste - Mats-Erik Eriksen - Uke ",WEEKNUM(A4,21))</f>
        <v>Timeliste - Mats-Erik Eriksen - Uke 4</v>
      </c>
      <c r="B1" s="2"/>
      <c r="C1" s="3"/>
      <c r="D1" s="4"/>
      <c r="E1" s="4"/>
      <c r="F1" s="5"/>
    </row>
    <row r="2" spans="1:6" ht="16.5"/>
    <row r="3" spans="1:6" ht="30.75">
      <c r="A3" s="6" t="s">
        <v>0</v>
      </c>
      <c r="B3" s="7" t="s">
        <v>1</v>
      </c>
      <c r="C3" s="8" t="s">
        <v>2</v>
      </c>
      <c r="D3" s="9" t="s">
        <v>3</v>
      </c>
      <c r="E3" s="10" t="s">
        <v>4</v>
      </c>
    </row>
    <row r="4" spans="1:6" ht="15.75">
      <c r="A4" s="11">
        <f>DATE(2020,1,20)</f>
        <v>43850</v>
      </c>
      <c r="B4" s="12">
        <f>DATE(2020,1,26)</f>
        <v>43856</v>
      </c>
      <c r="C4" s="13" t="s">
        <v>5</v>
      </c>
      <c r="D4" s="14">
        <f>SUMIF($E$10:$E$21,"Teori: *",$D$10:$D$21)</f>
        <v>0</v>
      </c>
      <c r="E4" s="15" t="e">
        <f ca="1">SUM(PREVSHEET(E4)+D4)</f>
        <v>#NAME?</v>
      </c>
    </row>
    <row r="5" spans="1:6" ht="30.75">
      <c r="A5" s="16" t="str">
        <f>CONCATENATE("Total tid brukt i uke ", MID(A1,37,1))</f>
        <v>Total tid brukt i uke 4</v>
      </c>
      <c r="B5" s="17" t="str">
        <f>CONCATENATE("Total tid prosjekt inntil uke ", MID(A1,37,1))</f>
        <v>Total tid prosjekt inntil uke 4</v>
      </c>
      <c r="C5" s="18" t="s">
        <v>6</v>
      </c>
      <c r="D5" s="14">
        <f>SUMIF($E$10:$E$21,"Utvikling: *",$D$10:$D$21)</f>
        <v>0</v>
      </c>
      <c r="E5" s="15" t="e">
        <f ca="1">SUM(PREVSHEET(E5)+D5)</f>
        <v>#NAME?</v>
      </c>
    </row>
    <row r="6" spans="1:6" ht="15.75">
      <c r="A6" s="19">
        <f>SUM($D$4:$D$7)</f>
        <v>0</v>
      </c>
      <c r="B6" s="20" t="e">
        <f ca="1">SUM(PREVSHEET(B6)+A6)</f>
        <v>#NAME?</v>
      </c>
      <c r="C6" s="21" t="s">
        <v>7</v>
      </c>
      <c r="D6" s="14">
        <f>SUMIF($E$10:$E$21,"Administrativt: *",$D$10:$D$21)</f>
        <v>0</v>
      </c>
      <c r="E6" s="15" t="e">
        <f ca="1">SUM(PREVSHEET(E6)+D6)</f>
        <v>#NAME?</v>
      </c>
    </row>
    <row r="7" spans="1:6" ht="15.75">
      <c r="A7" s="22"/>
      <c r="B7" s="23"/>
      <c r="C7" s="24" t="s">
        <v>8</v>
      </c>
      <c r="D7" s="25">
        <f>SUM(SUMIF($E$10:$E$21,"Logg: *",$D$10:$D$21),SUMIF($E$10:$E$21,"Oppgaver: *",$D$10:$D$21),SUMIF($E$10:$E$21,"Logg/Oppgaver: *",$D$10:$D$21),)</f>
        <v>0</v>
      </c>
      <c r="E7" s="15" t="e">
        <f ca="1">SUM(PREVSHEET(E7)+D7)</f>
        <v>#NAME?</v>
      </c>
    </row>
    <row r="8" spans="1:6" ht="15.75">
      <c r="A8" s="26"/>
      <c r="B8" s="27"/>
      <c r="C8" s="28"/>
      <c r="D8" s="27"/>
      <c r="E8" s="27"/>
      <c r="F8" s="29"/>
    </row>
    <row r="9" spans="1:6" ht="15.75">
      <c r="A9" s="30" t="s">
        <v>9</v>
      </c>
      <c r="B9" s="31" t="s">
        <v>10</v>
      </c>
      <c r="C9" s="31" t="s">
        <v>11</v>
      </c>
      <c r="D9" s="31" t="s">
        <v>12</v>
      </c>
      <c r="E9" s="32" t="s">
        <v>13</v>
      </c>
      <c r="F9" s="33" t="s">
        <v>14</v>
      </c>
    </row>
    <row r="10" spans="1:6">
      <c r="A10" s="34"/>
      <c r="B10" s="35"/>
      <c r="C10" s="35"/>
      <c r="D10" s="35">
        <f>(C10-B10)</f>
        <v>0</v>
      </c>
      <c r="E10" s="36"/>
      <c r="F10" s="37"/>
    </row>
    <row r="11" spans="1:6">
      <c r="A11" s="38"/>
      <c r="B11" s="39"/>
      <c r="C11" s="39"/>
      <c r="D11" s="39">
        <f>(C11-B11)</f>
        <v>0</v>
      </c>
      <c r="E11" s="40"/>
      <c r="F11" s="41"/>
    </row>
    <row r="12" spans="1:6">
      <c r="A12" s="42"/>
      <c r="B12" s="43"/>
      <c r="C12" s="43"/>
      <c r="D12" s="43">
        <f>(C12-B12)</f>
        <v>0</v>
      </c>
      <c r="E12" s="44"/>
      <c r="F12" s="37"/>
    </row>
    <row r="13" spans="1:6">
      <c r="A13" s="45"/>
      <c r="B13" s="46"/>
      <c r="C13" s="46"/>
      <c r="D13" s="47">
        <f>(C13-B13)</f>
        <v>0</v>
      </c>
      <c r="E13" s="40"/>
      <c r="F13" s="41"/>
    </row>
    <row r="14" spans="1:6">
      <c r="A14" s="48"/>
      <c r="B14" s="49"/>
      <c r="C14" s="49"/>
      <c r="D14" s="43">
        <f>(C14-B14)</f>
        <v>0</v>
      </c>
      <c r="E14" s="50"/>
      <c r="F14" s="37"/>
    </row>
    <row r="15" spans="1:6">
      <c r="A15" s="45"/>
      <c r="B15" s="46"/>
      <c r="C15" s="46"/>
      <c r="D15" s="51">
        <f>(C15-B15)</f>
        <v>0</v>
      </c>
      <c r="E15" s="52"/>
      <c r="F15" s="41"/>
    </row>
    <row r="16" spans="1:6">
      <c r="A16" s="53"/>
      <c r="B16" s="49"/>
      <c r="C16" s="49"/>
      <c r="D16" s="43">
        <f>(C16-B16)</f>
        <v>0</v>
      </c>
      <c r="E16" s="50"/>
      <c r="F16" s="37"/>
    </row>
    <row r="17" spans="1:6">
      <c r="A17" s="45"/>
      <c r="B17" s="46"/>
      <c r="C17" s="46"/>
      <c r="D17" s="51">
        <f>(C17-B17)</f>
        <v>0</v>
      </c>
      <c r="E17" s="52"/>
      <c r="F17" s="41"/>
    </row>
    <row r="18" spans="1:6">
      <c r="A18" s="53"/>
      <c r="B18" s="49"/>
      <c r="C18" s="49"/>
      <c r="D18" s="43">
        <f>(C18-B18)</f>
        <v>0</v>
      </c>
      <c r="E18" s="50"/>
      <c r="F18" s="37"/>
    </row>
    <row r="19" spans="1:6">
      <c r="A19" s="45"/>
      <c r="B19" s="46"/>
      <c r="C19" s="46"/>
      <c r="D19" s="51">
        <f>(C19-B19)</f>
        <v>0</v>
      </c>
      <c r="E19" s="52"/>
      <c r="F19" s="41"/>
    </row>
    <row r="20" spans="1:6">
      <c r="A20" s="53"/>
      <c r="B20" s="49"/>
      <c r="C20" s="49"/>
      <c r="D20" s="43">
        <f>(C20-B20)</f>
        <v>0</v>
      </c>
      <c r="E20" s="50"/>
      <c r="F20" s="37"/>
    </row>
    <row r="21" spans="1:6" ht="15.75">
      <c r="A21" s="54"/>
      <c r="B21" s="55"/>
      <c r="C21" s="55"/>
      <c r="D21" s="56">
        <f>(C21-B21)</f>
        <v>0</v>
      </c>
      <c r="E21" s="57"/>
      <c r="F21" s="58"/>
    </row>
    <row r="22" spans="1:6" ht="21.75">
      <c r="A22" s="59" t="s">
        <v>15</v>
      </c>
      <c r="B22" s="60"/>
      <c r="C22" s="60"/>
      <c r="D22" s="60"/>
      <c r="E22" s="60"/>
    </row>
    <row r="23" spans="1:6">
      <c r="A23" s="60"/>
      <c r="B23" s="60"/>
      <c r="C23" s="60"/>
      <c r="D23" s="60"/>
      <c r="E23" s="60"/>
    </row>
    <row r="24" spans="1:6">
      <c r="A24" s="60"/>
      <c r="B24" s="60"/>
      <c r="C24" s="60"/>
      <c r="D24" s="60"/>
      <c r="E24" s="60"/>
    </row>
    <row r="25" spans="1:6">
      <c r="A25" s="60"/>
      <c r="B25" s="60"/>
      <c r="C25" s="60"/>
      <c r="D25" s="60"/>
      <c r="E25" s="60"/>
    </row>
    <row r="26" spans="1:6">
      <c r="A26" s="60"/>
      <c r="B26" s="60"/>
      <c r="C26" s="60"/>
      <c r="D26" s="60"/>
      <c r="E26" s="60"/>
    </row>
    <row r="27" spans="1:6">
      <c r="A27" s="60"/>
      <c r="B27" s="60"/>
      <c r="C27" s="60"/>
      <c r="D27" s="60"/>
      <c r="E27" s="60"/>
    </row>
  </sheetData>
  <conditionalFormatting sqref="D10:D21">
    <cfRule type="cellIs" dxfId="279" priority="2" operator="equal">
      <formula>0</formula>
    </cfRule>
  </conditionalFormatting>
  <conditionalFormatting sqref="A10:D21">
    <cfRule type="expression" dxfId="278" priority="3">
      <formula>EVEN(ROW())=ROW()</formula>
    </cfRule>
  </conditionalFormatting>
  <conditionalFormatting sqref="E10:E21">
    <cfRule type="expression" dxfId="277" priority="4">
      <formula>SEARCH("Oppgaver: ",E10:E21)</formula>
    </cfRule>
    <cfRule type="expression" dxfId="276" priority="5">
      <formula>SEARCH("Logg: ",E10:E21)</formula>
    </cfRule>
    <cfRule type="expression" dxfId="275" priority="6">
      <formula>SEARCH("Logg/Oppgaver: ",E10:E21)</formula>
    </cfRule>
    <cfRule type="expression" dxfId="274" priority="7">
      <formula>SEARCH("Administrativt: ",E10:E21)</formula>
    </cfRule>
    <cfRule type="expression" dxfId="273" priority="8">
      <formula>SEARCH("Utvikling: ",E10:E21)</formula>
    </cfRule>
    <cfRule type="expression" dxfId="272" priority="9">
      <formula>SEARCH("Teori: ",E10:E21)</formula>
    </cfRule>
    <cfRule type="expression" dxfId="271" priority="10">
      <formula>EVEN(ROW())=ROW()</formula>
    </cfRule>
  </conditionalFormatting>
  <conditionalFormatting sqref="F20">
    <cfRule type="expression" dxfId="270" priority="11">
      <formula>SEARCH("Oppgaver: ",F20:F31)</formula>
    </cfRule>
    <cfRule type="expression" dxfId="269" priority="12">
      <formula>SEARCH("Logg: ",F20:F31)</formula>
    </cfRule>
    <cfRule type="expression" dxfId="268" priority="13">
      <formula>SEARCH("Logg/Oppgaver: ",F20:F31)</formula>
    </cfRule>
    <cfRule type="expression" dxfId="267" priority="14">
      <formula>SEARCH("Administrativt: ",F20:F31)</formula>
    </cfRule>
    <cfRule type="expression" dxfId="266" priority="15">
      <formula>SEARCH("Utvikling: ",F20:F31)</formula>
    </cfRule>
    <cfRule type="expression" dxfId="265" priority="16">
      <formula>SEARCH("Teori: ",F20:F31)</formula>
    </cfRule>
    <cfRule type="expression" dxfId="264" priority="17">
      <formula>EVEN(ROW())=ROW()</formula>
    </cfRule>
  </conditionalFormatting>
  <conditionalFormatting sqref="F18">
    <cfRule type="expression" dxfId="263" priority="18">
      <formula>SEARCH("Oppgaver: ",F18:F29)</formula>
    </cfRule>
    <cfRule type="expression" dxfId="262" priority="19">
      <formula>SEARCH("Logg: ",F18:F29)</formula>
    </cfRule>
    <cfRule type="expression" dxfId="261" priority="20">
      <formula>SEARCH("Logg/Oppgaver: ",F18:F29)</formula>
    </cfRule>
    <cfRule type="expression" dxfId="260" priority="21">
      <formula>SEARCH("Administrativt: ",F18:F29)</formula>
    </cfRule>
    <cfRule type="expression" dxfId="259" priority="22">
      <formula>SEARCH("Utvikling: ",F18:F29)</formula>
    </cfRule>
    <cfRule type="expression" dxfId="258" priority="23">
      <formula>SEARCH("Teori: ",F18:F29)</formula>
    </cfRule>
    <cfRule type="expression" dxfId="257" priority="24">
      <formula>EVEN(ROW())=ROW()</formula>
    </cfRule>
  </conditionalFormatting>
  <conditionalFormatting sqref="F16">
    <cfRule type="expression" dxfId="256" priority="25">
      <formula>SEARCH("Oppgaver: ",F16:F27)</formula>
    </cfRule>
    <cfRule type="expression" dxfId="255" priority="26">
      <formula>SEARCH("Logg: ",F16:F27)</formula>
    </cfRule>
    <cfRule type="expression" dxfId="254" priority="27">
      <formula>SEARCH("Logg/Oppgaver: ",F16:F27)</formula>
    </cfRule>
    <cfRule type="expression" dxfId="253" priority="28">
      <formula>SEARCH("Administrativt: ",F16:F27)</formula>
    </cfRule>
    <cfRule type="expression" dxfId="252" priority="29">
      <formula>SEARCH("Utvikling: ",F16:F27)</formula>
    </cfRule>
    <cfRule type="expression" dxfId="251" priority="30">
      <formula>SEARCH("Teori: ",F16:F27)</formula>
    </cfRule>
    <cfRule type="expression" dxfId="250" priority="31">
      <formula>EVEN(ROW())=ROW()</formula>
    </cfRule>
  </conditionalFormatting>
  <conditionalFormatting sqref="F14">
    <cfRule type="expression" dxfId="249" priority="32">
      <formula>SEARCH("Oppgaver: ",F14:F25)</formula>
    </cfRule>
    <cfRule type="expression" dxfId="248" priority="33">
      <formula>SEARCH("Logg: ",F14:F25)</formula>
    </cfRule>
    <cfRule type="expression" dxfId="247" priority="34">
      <formula>SEARCH("Logg/Oppgaver: ",F14:F25)</formula>
    </cfRule>
    <cfRule type="expression" dxfId="246" priority="35">
      <formula>SEARCH("Administrativt: ",F14:F25)</formula>
    </cfRule>
    <cfRule type="expression" dxfId="245" priority="36">
      <formula>SEARCH("Utvikling: ",F14:F25)</formula>
    </cfRule>
    <cfRule type="expression" dxfId="244" priority="37">
      <formula>SEARCH("Teori: ",F14:F25)</formula>
    </cfRule>
    <cfRule type="expression" dxfId="243" priority="38">
      <formula>EVEN(ROW())=ROW()</formula>
    </cfRule>
  </conditionalFormatting>
  <conditionalFormatting sqref="F12">
    <cfRule type="expression" dxfId="242" priority="39">
      <formula>SEARCH("Oppgaver: ",F12:F23)</formula>
    </cfRule>
    <cfRule type="expression" dxfId="241" priority="40">
      <formula>SEARCH("Logg: ",F12:F23)</formula>
    </cfRule>
    <cfRule type="expression" dxfId="240" priority="41">
      <formula>SEARCH("Logg/Oppgaver: ",F12:F23)</formula>
    </cfRule>
    <cfRule type="expression" dxfId="239" priority="42">
      <formula>SEARCH("Administrativt: ",F12:F23)</formula>
    </cfRule>
    <cfRule type="expression" dxfId="238" priority="43">
      <formula>SEARCH("Utvikling: ",F12:F23)</formula>
    </cfRule>
    <cfRule type="expression" dxfId="237" priority="44">
      <formula>SEARCH("Teori: ",F12:F23)</formula>
    </cfRule>
    <cfRule type="expression" dxfId="236" priority="45">
      <formula>EVEN(ROW())=ROW()</formula>
    </cfRule>
  </conditionalFormatting>
  <conditionalFormatting sqref="F10">
    <cfRule type="expression" dxfId="235" priority="46">
      <formula>SEARCH("Oppgaver: ",F10:F21)</formula>
    </cfRule>
    <cfRule type="expression" dxfId="234" priority="47">
      <formula>SEARCH("Logg: ",F10:F21)</formula>
    </cfRule>
    <cfRule type="expression" dxfId="233" priority="48">
      <formula>SEARCH("Logg/Oppgaver: ",F10:F21)</formula>
    </cfRule>
    <cfRule type="expression" dxfId="232" priority="49">
      <formula>SEARCH("Administrativt: ",F10:F21)</formula>
    </cfRule>
    <cfRule type="expression" dxfId="231" priority="50">
      <formula>SEARCH("Utvikling: ",F10:F21)</formula>
    </cfRule>
    <cfRule type="expression" dxfId="230" priority="51">
      <formula>SEARCH("Teori: ",F10:F21)</formula>
    </cfRule>
    <cfRule type="expression" dxfId="229" priority="52">
      <formula>EVEN(ROW())=ROW()</formula>
    </cfRule>
  </conditionalFormatting>
  <dataValidations count="1">
    <dataValidation allowBlank="1" showInputMessage="1" sqref="E10:F10 E11:E13 F12 E14:F14 E15:E17 F16 E18:F18 E19:E21 F20" xr:uid="{00000000-0002-0000-0000-000000000000}">
      <formula1>0</formula1>
      <formula2>0</formula2>
    </dataValidation>
  </dataValidations>
  <pageMargins left="0.25" right="0.25" top="0.75" bottom="0.75" header="0.51180555555555496" footer="0.51180555555555496"/>
  <pageSetup paperSize="9" firstPageNumber="0" fitToHeight="0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F27"/>
  <sheetViews>
    <sheetView zoomScale="140" zoomScaleNormal="140" workbookViewId="0"/>
  </sheetViews>
  <sheetFormatPr defaultColWidth="11.5703125" defaultRowHeight="15"/>
  <cols>
    <col min="1" max="1" width="21.42578125" customWidth="1"/>
    <col min="2" max="2" width="20.42578125" customWidth="1"/>
    <col min="3" max="3" width="13.85546875" customWidth="1"/>
    <col min="4" max="4" width="14.7109375" customWidth="1"/>
    <col min="5" max="5" width="29.5703125" customWidth="1"/>
    <col min="6" max="6" width="9.85546875" customWidth="1"/>
  </cols>
  <sheetData>
    <row r="1" spans="1:6" ht="24.75">
      <c r="A1" s="1" t="str">
        <f>_xlfn.CONCAT("Timeliste - Mats-Erik Eriksen - Uke ",WEEKNUM(A4,21))</f>
        <v>Timeliste - Mats-Erik Eriksen - Uke 4</v>
      </c>
      <c r="B1" s="2"/>
      <c r="C1" s="3"/>
      <c r="D1" s="4"/>
      <c r="E1" s="4"/>
      <c r="F1" s="5"/>
    </row>
    <row r="2" spans="1:6" ht="16.5"/>
    <row r="3" spans="1:6" ht="30.75">
      <c r="A3" s="6" t="s">
        <v>0</v>
      </c>
      <c r="B3" s="7" t="s">
        <v>1</v>
      </c>
      <c r="C3" s="8" t="s">
        <v>2</v>
      </c>
      <c r="D3" s="9" t="s">
        <v>3</v>
      </c>
      <c r="E3" s="10" t="s">
        <v>4</v>
      </c>
    </row>
    <row r="4" spans="1:6" ht="15.75">
      <c r="A4" s="11">
        <f>DATE(2021,1,25)</f>
        <v>44221</v>
      </c>
      <c r="B4" s="12">
        <f>A4+6</f>
        <v>44227</v>
      </c>
      <c r="C4" s="13" t="s">
        <v>5</v>
      </c>
      <c r="D4" s="14">
        <f>SUMIF($E$10:$E$21,"Teori: *",$D$10:$D$21)</f>
        <v>0</v>
      </c>
      <c r="E4" s="15" t="e">
        <f ca="1">SUM(PREVSHEET(E4)+D4)</f>
        <v>#NAME?</v>
      </c>
    </row>
    <row r="5" spans="1:6" ht="30.75">
      <c r="A5" s="16" t="str">
        <f>CONCATENATE("Total tid brukt i uke ", MID(A1,37,1))</f>
        <v>Total tid brukt i uke 4</v>
      </c>
      <c r="B5" s="17" t="str">
        <f>CONCATENATE("Total tid prosjekt inntil uke ", MID(A1,37,1))</f>
        <v>Total tid prosjekt inntil uke 4</v>
      </c>
      <c r="C5" s="18" t="s">
        <v>6</v>
      </c>
      <c r="D5" s="14">
        <f>SUMIF($E$10:$E$21,"Utvikling: *",$D$10:$D$21)</f>
        <v>0</v>
      </c>
      <c r="E5" s="15" t="e">
        <f ca="1">SUM(PREVSHEET(E5)+D5)</f>
        <v>#NAME?</v>
      </c>
    </row>
    <row r="6" spans="1:6" ht="15.75">
      <c r="A6" s="19">
        <f>SUM($D$4:$D$7)</f>
        <v>0.23333333333333206</v>
      </c>
      <c r="B6" s="20" t="e">
        <f ca="1">SUM(PREVSHEET(B6)+A6)</f>
        <v>#NAME?</v>
      </c>
      <c r="C6" s="21" t="s">
        <v>7</v>
      </c>
      <c r="D6" s="14">
        <f>SUMIF($E$10:$E$21,"Administrativt: *",$D$10:$D$21)</f>
        <v>0.10138888888888803</v>
      </c>
      <c r="E6" s="15" t="e">
        <f ca="1">SUM(PREVSHEET(E6)+D6)</f>
        <v>#NAME?</v>
      </c>
    </row>
    <row r="7" spans="1:6" ht="20.45" customHeight="1">
      <c r="A7" s="22"/>
      <c r="B7" s="23"/>
      <c r="C7" s="24" t="s">
        <v>8</v>
      </c>
      <c r="D7" s="25">
        <f>SUM(SUMIF($E$10:$E$21,"Logg: *",$D$10:$D$21),SUMIF($E$10:$E$21,"Oppgaver: *",$D$10:$D$21),SUMIF($E$10:$E$21,"Logg/Oppgaver: *",$D$10:$D$21),)</f>
        <v>0.13194444444444403</v>
      </c>
      <c r="E7" s="15" t="e">
        <f ca="1">SUM(PREVSHEET(E7)+D7)</f>
        <v>#NAME?</v>
      </c>
    </row>
    <row r="8" spans="1:6" ht="15.75">
      <c r="A8" s="26"/>
      <c r="B8" s="27"/>
      <c r="C8" s="28"/>
      <c r="D8" s="27"/>
      <c r="E8" s="27"/>
      <c r="F8" s="29"/>
    </row>
    <row r="9" spans="1:6" ht="15.75">
      <c r="A9" s="30" t="s">
        <v>9</v>
      </c>
      <c r="B9" s="31" t="s">
        <v>10</v>
      </c>
      <c r="C9" s="31" t="s">
        <v>11</v>
      </c>
      <c r="D9" s="31" t="s">
        <v>12</v>
      </c>
      <c r="E9" s="32" t="s">
        <v>13</v>
      </c>
      <c r="F9" s="33" t="s">
        <v>14</v>
      </c>
    </row>
    <row r="10" spans="1:6">
      <c r="A10" s="34">
        <f>DATE(2021,1,25)</f>
        <v>44221</v>
      </c>
      <c r="B10" s="35">
        <v>0.41666666666666702</v>
      </c>
      <c r="C10" s="35">
        <v>0.43472222222222201</v>
      </c>
      <c r="D10" s="35">
        <f>(C10-B10)</f>
        <v>1.8055555555554992E-2</v>
      </c>
      <c r="E10" s="36" t="s">
        <v>16</v>
      </c>
      <c r="F10" s="61" t="s">
        <v>17</v>
      </c>
    </row>
    <row r="11" spans="1:6" ht="13.9">
      <c r="A11" s="38">
        <f>DATE(2021,1,27)</f>
        <v>44223</v>
      </c>
      <c r="B11" s="39">
        <v>0.48263888888888901</v>
      </c>
      <c r="C11" s="39">
        <v>0.61458333333333304</v>
      </c>
      <c r="D11" s="39">
        <f>(C11-B11)</f>
        <v>0.13194444444444403</v>
      </c>
      <c r="E11" s="40" t="s">
        <v>18</v>
      </c>
      <c r="F11" s="41"/>
    </row>
    <row r="12" spans="1:6" ht="13.9">
      <c r="A12" s="42">
        <f>DATE(2021,1,31)</f>
        <v>44227</v>
      </c>
      <c r="B12" s="43">
        <v>0.8125</v>
      </c>
      <c r="C12" s="43">
        <v>0.89583333333333304</v>
      </c>
      <c r="D12" s="43">
        <f>(C12-B12)</f>
        <v>8.3333333333333037E-2</v>
      </c>
      <c r="E12" s="44" t="s">
        <v>19</v>
      </c>
      <c r="F12" s="37"/>
    </row>
    <row r="13" spans="1:6" ht="13.9">
      <c r="A13" s="45"/>
      <c r="B13" s="46"/>
      <c r="C13" s="46"/>
      <c r="D13" s="47">
        <f>(C13-B13)</f>
        <v>0</v>
      </c>
      <c r="E13" s="40"/>
      <c r="F13" s="41"/>
    </row>
    <row r="14" spans="1:6" ht="13.9">
      <c r="A14" s="48"/>
      <c r="B14" s="49"/>
      <c r="C14" s="49"/>
      <c r="D14" s="43"/>
      <c r="E14" s="50"/>
      <c r="F14" s="37"/>
    </row>
    <row r="15" spans="1:6" ht="13.9">
      <c r="A15" s="45"/>
      <c r="B15" s="46"/>
      <c r="C15" s="46"/>
      <c r="D15" s="47">
        <f>(C15-B15)</f>
        <v>0</v>
      </c>
      <c r="E15" s="52"/>
      <c r="F15" s="41"/>
    </row>
    <row r="16" spans="1:6" ht="13.9">
      <c r="A16" s="53"/>
      <c r="B16" s="49"/>
      <c r="C16" s="49"/>
      <c r="D16" s="43"/>
      <c r="E16" s="50"/>
      <c r="F16" s="37"/>
    </row>
    <row r="17" spans="1:6">
      <c r="A17" s="45"/>
      <c r="B17" s="46"/>
      <c r="C17" s="46"/>
      <c r="D17" s="51">
        <f>(C17-B17)</f>
        <v>0</v>
      </c>
      <c r="E17" s="52"/>
      <c r="F17" s="41"/>
    </row>
    <row r="18" spans="1:6">
      <c r="A18" s="53"/>
      <c r="B18" s="49"/>
      <c r="C18" s="49"/>
      <c r="D18" s="43">
        <f>(C18-B18)</f>
        <v>0</v>
      </c>
      <c r="E18" s="50"/>
      <c r="F18" s="37"/>
    </row>
    <row r="19" spans="1:6">
      <c r="A19" s="45"/>
      <c r="B19" s="46"/>
      <c r="C19" s="46"/>
      <c r="D19" s="51">
        <f>(C19-B19)</f>
        <v>0</v>
      </c>
      <c r="E19" s="52"/>
      <c r="F19" s="41"/>
    </row>
    <row r="20" spans="1:6">
      <c r="A20" s="53"/>
      <c r="B20" s="49"/>
      <c r="C20" s="49"/>
      <c r="D20" s="43">
        <f>(C20-B20)</f>
        <v>0</v>
      </c>
      <c r="E20" s="50"/>
      <c r="F20" s="37"/>
    </row>
    <row r="21" spans="1:6" ht="15.75">
      <c r="A21" s="54"/>
      <c r="B21" s="55"/>
      <c r="C21" s="55"/>
      <c r="D21" s="56">
        <f>(C21-B21)</f>
        <v>0</v>
      </c>
      <c r="E21" s="57"/>
      <c r="F21" s="58"/>
    </row>
    <row r="22" spans="1:6" ht="21.75">
      <c r="A22" s="59" t="s">
        <v>15</v>
      </c>
      <c r="B22" s="60"/>
      <c r="C22" s="60"/>
      <c r="D22" s="60"/>
      <c r="E22" s="60"/>
    </row>
    <row r="23" spans="1:6">
      <c r="A23" s="60"/>
      <c r="B23" s="60"/>
      <c r="C23" s="60"/>
      <c r="D23" s="60"/>
      <c r="E23" s="60"/>
    </row>
    <row r="24" spans="1:6">
      <c r="A24" s="60"/>
      <c r="B24" s="60"/>
      <c r="C24" s="60"/>
      <c r="D24" s="60"/>
      <c r="E24" s="60"/>
    </row>
    <row r="25" spans="1:6">
      <c r="A25" s="60"/>
      <c r="B25" s="60"/>
      <c r="C25" s="60"/>
      <c r="D25" s="60"/>
      <c r="E25" s="60"/>
    </row>
    <row r="26" spans="1:6">
      <c r="A26" s="60"/>
      <c r="B26" s="60"/>
      <c r="C26" s="60"/>
      <c r="D26" s="60"/>
      <c r="E26" s="60"/>
    </row>
    <row r="27" spans="1:6">
      <c r="A27" s="60"/>
      <c r="B27" s="60"/>
      <c r="C27" s="60"/>
      <c r="D27" s="60"/>
      <c r="E27" s="60"/>
    </row>
  </sheetData>
  <conditionalFormatting sqref="D10:D21">
    <cfRule type="cellIs" dxfId="228" priority="2" operator="equal">
      <formula>0</formula>
    </cfRule>
  </conditionalFormatting>
  <conditionalFormatting sqref="A10:D21">
    <cfRule type="expression" dxfId="227" priority="3">
      <formula>EVEN(ROW())=ROW()</formula>
    </cfRule>
  </conditionalFormatting>
  <conditionalFormatting sqref="E10:E21">
    <cfRule type="expression" dxfId="226" priority="4">
      <formula>SEARCH("Oppgaver: ",E10:E21)</formula>
    </cfRule>
    <cfRule type="expression" dxfId="225" priority="5">
      <formula>SEARCH("Logg: ",E10:E21)</formula>
    </cfRule>
    <cfRule type="expression" dxfId="224" priority="6">
      <formula>SEARCH("Logg/Oppgaver: ",E10:E21)</formula>
    </cfRule>
    <cfRule type="expression" dxfId="223" priority="7">
      <formula>SEARCH("Administrativt: ",E10:E21)</formula>
    </cfRule>
    <cfRule type="expression" dxfId="222" priority="8">
      <formula>SEARCH("Utvikling: ",E10:E21)</formula>
    </cfRule>
    <cfRule type="expression" dxfId="221" priority="9">
      <formula>SEARCH("Teori: ",E10:E21)</formula>
    </cfRule>
    <cfRule type="expression" dxfId="220" priority="10">
      <formula>EVEN(ROW())=ROW()</formula>
    </cfRule>
  </conditionalFormatting>
  <conditionalFormatting sqref="F20">
    <cfRule type="expression" dxfId="219" priority="11">
      <formula>SEARCH("Oppgaver: ",F20:F31)</formula>
    </cfRule>
    <cfRule type="expression" dxfId="218" priority="12">
      <formula>SEARCH("Logg: ",F20:F31)</formula>
    </cfRule>
    <cfRule type="expression" dxfId="217" priority="13">
      <formula>SEARCH("Logg/Oppgaver: ",F20:F31)</formula>
    </cfRule>
    <cfRule type="expression" dxfId="216" priority="14">
      <formula>SEARCH("Administrativt: ",F20:F31)</formula>
    </cfRule>
    <cfRule type="expression" dxfId="215" priority="15">
      <formula>SEARCH("Utvikling: ",F20:F31)</formula>
    </cfRule>
    <cfRule type="expression" dxfId="214" priority="16">
      <formula>SEARCH("Teori: ",F20:F31)</formula>
    </cfRule>
    <cfRule type="expression" dxfId="213" priority="17">
      <formula>EVEN(ROW())=ROW()</formula>
    </cfRule>
  </conditionalFormatting>
  <conditionalFormatting sqref="F18">
    <cfRule type="expression" dxfId="212" priority="18">
      <formula>SEARCH("Oppgaver: ",F18:F29)</formula>
    </cfRule>
    <cfRule type="expression" dxfId="211" priority="19">
      <formula>SEARCH("Logg: ",F18:F29)</formula>
    </cfRule>
    <cfRule type="expression" dxfId="210" priority="20">
      <formula>SEARCH("Logg/Oppgaver: ",F18:F29)</formula>
    </cfRule>
    <cfRule type="expression" dxfId="209" priority="21">
      <formula>SEARCH("Administrativt: ",F18:F29)</formula>
    </cfRule>
    <cfRule type="expression" dxfId="208" priority="22">
      <formula>SEARCH("Utvikling: ",F18:F29)</formula>
    </cfRule>
    <cfRule type="expression" dxfId="207" priority="23">
      <formula>SEARCH("Teori: ",F18:F29)</formula>
    </cfRule>
    <cfRule type="expression" dxfId="206" priority="24">
      <formula>EVEN(ROW())=ROW()</formula>
    </cfRule>
  </conditionalFormatting>
  <conditionalFormatting sqref="F16">
    <cfRule type="expression" dxfId="205" priority="25">
      <formula>SEARCH("Oppgaver: ",F16:F27)</formula>
    </cfRule>
    <cfRule type="expression" dxfId="204" priority="26">
      <formula>SEARCH("Logg: ",F16:F27)</formula>
    </cfRule>
    <cfRule type="expression" dxfId="203" priority="27">
      <formula>SEARCH("Logg/Oppgaver: ",F16:F27)</formula>
    </cfRule>
    <cfRule type="expression" dxfId="202" priority="28">
      <formula>SEARCH("Administrativt: ",F16:F27)</formula>
    </cfRule>
    <cfRule type="expression" dxfId="201" priority="29">
      <formula>SEARCH("Utvikling: ",F16:F27)</formula>
    </cfRule>
    <cfRule type="expression" dxfId="200" priority="30">
      <formula>SEARCH("Teori: ",F16:F27)</formula>
    </cfRule>
    <cfRule type="expression" dxfId="199" priority="31">
      <formula>EVEN(ROW())=ROW()</formula>
    </cfRule>
  </conditionalFormatting>
  <conditionalFormatting sqref="F14">
    <cfRule type="expression" dxfId="198" priority="32">
      <formula>SEARCH("Oppgaver: ",F14:F25)</formula>
    </cfRule>
    <cfRule type="expression" dxfId="197" priority="33">
      <formula>SEARCH("Logg: ",F14:F25)</formula>
    </cfRule>
    <cfRule type="expression" dxfId="196" priority="34">
      <formula>SEARCH("Logg/Oppgaver: ",F14:F25)</formula>
    </cfRule>
    <cfRule type="expression" dxfId="195" priority="35">
      <formula>SEARCH("Administrativt: ",F14:F25)</formula>
    </cfRule>
    <cfRule type="expression" dxfId="194" priority="36">
      <formula>SEARCH("Utvikling: ",F14:F25)</formula>
    </cfRule>
    <cfRule type="expression" dxfId="193" priority="37">
      <formula>SEARCH("Teori: ",F14:F25)</formula>
    </cfRule>
    <cfRule type="expression" dxfId="192" priority="38">
      <formula>EVEN(ROW())=ROW()</formula>
    </cfRule>
  </conditionalFormatting>
  <conditionalFormatting sqref="F12">
    <cfRule type="expression" dxfId="191" priority="39">
      <formula>SEARCH("Oppgaver: ",F12:F23)</formula>
    </cfRule>
    <cfRule type="expression" dxfId="190" priority="40">
      <formula>SEARCH("Logg: ",F12:F23)</formula>
    </cfRule>
    <cfRule type="expression" dxfId="189" priority="41">
      <formula>SEARCH("Logg/Oppgaver: ",F12:F23)</formula>
    </cfRule>
    <cfRule type="expression" dxfId="188" priority="42">
      <formula>SEARCH("Administrativt: ",F12:F23)</formula>
    </cfRule>
    <cfRule type="expression" dxfId="187" priority="43">
      <formula>SEARCH("Utvikling: ",F12:F23)</formula>
    </cfRule>
    <cfRule type="expression" dxfId="186" priority="44">
      <formula>SEARCH("Teori: ",F12:F23)</formula>
    </cfRule>
    <cfRule type="expression" dxfId="185" priority="45">
      <formula>EVEN(ROW())=ROW()</formula>
    </cfRule>
  </conditionalFormatting>
  <conditionalFormatting sqref="F10">
    <cfRule type="expression" dxfId="184" priority="46">
      <formula>SEARCH("Oppgaver: ",F10:F21)</formula>
    </cfRule>
    <cfRule type="expression" dxfId="183" priority="47">
      <formula>SEARCH("Logg: ",F10:F21)</formula>
    </cfRule>
    <cfRule type="expression" dxfId="182" priority="48">
      <formula>SEARCH("Logg/Oppgaver: ",F10:F21)</formula>
    </cfRule>
    <cfRule type="expression" dxfId="181" priority="49">
      <formula>SEARCH("Administrativt: ",F10:F21)</formula>
    </cfRule>
    <cfRule type="expression" dxfId="180" priority="50">
      <formula>SEARCH("Utvikling: ",F10:F21)</formula>
    </cfRule>
    <cfRule type="expression" dxfId="179" priority="51">
      <formula>SEARCH("Teori: ",F10:F21)</formula>
    </cfRule>
    <cfRule type="expression" dxfId="178" priority="52">
      <formula>EVEN(ROW())=ROW()</formula>
    </cfRule>
  </conditionalFormatting>
  <dataValidations count="1">
    <dataValidation allowBlank="1" showInputMessage="1" sqref="E10:F10 E11:E13 F12 E14:F14 E15:E17 F16 E18:F18 E19:E21 F20" xr:uid="{00000000-0002-0000-0100-000000000000}">
      <formula1>0</formula1>
      <formula2>0</formula2>
    </dataValidation>
  </dataValidations>
  <pageMargins left="0.25" right="0.25" top="0.75" bottom="0.75" header="0.51180555555555496" footer="0.51180555555555496"/>
  <pageSetup paperSize="9" firstPageNumber="0" fitToHeight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F31"/>
  <sheetViews>
    <sheetView zoomScale="140" zoomScaleNormal="140" workbookViewId="0">
      <selection activeCell="E25" sqref="E25"/>
    </sheetView>
  </sheetViews>
  <sheetFormatPr defaultColWidth="11.5703125" defaultRowHeight="13.9"/>
  <cols>
    <col min="1" max="1" width="22.140625" customWidth="1"/>
    <col min="2" max="2" width="21.5703125" customWidth="1"/>
    <col min="3" max="3" width="13.85546875" customWidth="1"/>
    <col min="4" max="4" width="14.7109375" customWidth="1"/>
    <col min="5" max="5" width="29.5703125" customWidth="1"/>
    <col min="6" max="6" width="9.85546875" customWidth="1"/>
  </cols>
  <sheetData>
    <row r="1" spans="1:6" ht="24.75">
      <c r="A1" s="1" t="str">
        <f>_xlfn.CONCAT("Timeliste - Mats-Erik Eriksen - Uke ",WEEKNUM(A4,21))</f>
        <v>Timeliste - Mats-Erik Eriksen - Uke 5</v>
      </c>
      <c r="B1" s="2"/>
      <c r="C1" s="3"/>
      <c r="D1" s="4"/>
      <c r="E1" s="4"/>
      <c r="F1" s="5"/>
    </row>
    <row r="2" spans="1:6" ht="16.5"/>
    <row r="3" spans="1:6" ht="30.75">
      <c r="A3" s="6" t="s">
        <v>0</v>
      </c>
      <c r="B3" s="7" t="s">
        <v>1</v>
      </c>
      <c r="C3" s="8" t="s">
        <v>2</v>
      </c>
      <c r="D3" s="9" t="s">
        <v>3</v>
      </c>
      <c r="E3" s="10" t="s">
        <v>4</v>
      </c>
    </row>
    <row r="4" spans="1:6" ht="20.85">
      <c r="A4" s="11">
        <f>DATE(2021,2,1)</f>
        <v>44228</v>
      </c>
      <c r="B4" s="12">
        <f>A4+6</f>
        <v>44234</v>
      </c>
      <c r="C4" s="13" t="s">
        <v>5</v>
      </c>
      <c r="D4" s="14">
        <f>SUMIF($E$10:$E$25,"Teori: *",$D$10:$D$25)</f>
        <v>0</v>
      </c>
      <c r="E4" s="15" t="e">
        <f ca="1">SUM(PREVSHEET(E4)+D4)</f>
        <v>#NAME?</v>
      </c>
    </row>
    <row r="5" spans="1:6" ht="30.75">
      <c r="A5" s="16" t="str">
        <f>CONCATENATE("Total tid brukt i uke ", MID(A1,37,1))</f>
        <v>Total tid brukt i uke 5</v>
      </c>
      <c r="B5" s="17" t="str">
        <f>CONCATENATE("Total tid prosjekt inntil uke ", MID(A1,37,1))</f>
        <v>Total tid prosjekt inntil uke 5</v>
      </c>
      <c r="C5" s="18" t="s">
        <v>6</v>
      </c>
      <c r="D5" s="14">
        <f>SUMIF($E$10:$E$25,"Utvikling: *",$D$10:$D$25)</f>
        <v>5.9027777777778012E-2</v>
      </c>
      <c r="E5" s="15" t="e">
        <f ca="1">SUM(PREVSHEET(E5)+D5)</f>
        <v>#NAME?</v>
      </c>
    </row>
    <row r="6" spans="1:6" ht="15.75">
      <c r="A6" s="19">
        <f>SUM($D$4:$D$7)</f>
        <v>1.4006944444444447</v>
      </c>
      <c r="B6" s="20" t="e">
        <f ca="1">SUM(PREVSHEET(B6)+A6)</f>
        <v>#NAME?</v>
      </c>
      <c r="C6" s="21" t="s">
        <v>7</v>
      </c>
      <c r="D6" s="14">
        <f>SUMIF($E$10:$E$25,"Administrativt: *",$D$10:$D$25)</f>
        <v>0.38680555555555568</v>
      </c>
      <c r="E6" s="15" t="e">
        <f ca="1">SUM(PREVSHEET(E6)+D6)</f>
        <v>#NAME?</v>
      </c>
    </row>
    <row r="7" spans="1:6" ht="20.45" customHeight="1">
      <c r="A7" s="22"/>
      <c r="B7" s="23"/>
      <c r="C7" s="24" t="s">
        <v>8</v>
      </c>
      <c r="D7" s="25">
        <f>SUM(SUMIF($E$10:$E$25,"Logg: *",$D$10:$D$25),SUMIF($E$10:$E$25,"Oppgaver: *",$D$10:$D$25),SUMIF($E$10:$E$25,"Logg/Oppgaver: *",$D$10:$D$25),)</f>
        <v>0.95486111111111094</v>
      </c>
      <c r="E7" s="15" t="e">
        <f ca="1">SUM(PREVSHEET(E7)+D7)</f>
        <v>#NAME?</v>
      </c>
    </row>
    <row r="8" spans="1:6" ht="15.75">
      <c r="A8" s="26"/>
      <c r="B8" s="27"/>
      <c r="C8" s="28"/>
      <c r="D8" s="27"/>
      <c r="E8" s="27"/>
      <c r="F8" s="29"/>
    </row>
    <row r="9" spans="1:6" ht="15.75">
      <c r="A9" s="30" t="s">
        <v>9</v>
      </c>
      <c r="B9" s="31" t="s">
        <v>10</v>
      </c>
      <c r="C9" s="31" t="s">
        <v>11</v>
      </c>
      <c r="D9" s="31" t="s">
        <v>12</v>
      </c>
      <c r="E9" s="32" t="s">
        <v>13</v>
      </c>
      <c r="F9" s="33" t="s">
        <v>14</v>
      </c>
    </row>
    <row r="10" spans="1:6">
      <c r="A10" s="34">
        <f>DATE(2021,2,1)</f>
        <v>44228</v>
      </c>
      <c r="B10" s="35">
        <v>3.9583333333333297E-2</v>
      </c>
      <c r="C10" s="35">
        <v>0.18888888888888899</v>
      </c>
      <c r="D10" s="35">
        <f>(C10-B10)</f>
        <v>0.14930555555555569</v>
      </c>
      <c r="E10" s="36" t="s">
        <v>20</v>
      </c>
      <c r="F10" s="37" t="s">
        <v>17</v>
      </c>
    </row>
    <row r="11" spans="1:6">
      <c r="A11" s="38">
        <f>DATE(2021,2,1)</f>
        <v>44228</v>
      </c>
      <c r="B11" s="39">
        <v>0.39583333333333298</v>
      </c>
      <c r="C11" s="39">
        <v>0.41666666666666702</v>
      </c>
      <c r="D11" s="39">
        <f>(C11-B11)</f>
        <v>2.0833333333334036E-2</v>
      </c>
      <c r="E11" s="40" t="s">
        <v>21</v>
      </c>
      <c r="F11" s="41" t="s">
        <v>17</v>
      </c>
    </row>
    <row r="12" spans="1:6">
      <c r="A12" s="42">
        <f>DATE(2021,2,1)</f>
        <v>44228</v>
      </c>
      <c r="B12" s="43">
        <v>0.41666666666666702</v>
      </c>
      <c r="C12" s="43">
        <v>0.45</v>
      </c>
      <c r="D12" s="43">
        <f>(C12-B12)</f>
        <v>3.3333333333332993E-2</v>
      </c>
      <c r="E12" s="44" t="s">
        <v>22</v>
      </c>
      <c r="F12" s="37" t="s">
        <v>17</v>
      </c>
    </row>
    <row r="13" spans="1:6">
      <c r="A13" s="38">
        <f>DATE(2021,2,1)</f>
        <v>44228</v>
      </c>
      <c r="B13" s="46">
        <v>0.45</v>
      </c>
      <c r="C13" s="46">
        <v>0.60555555555555496</v>
      </c>
      <c r="D13" s="47">
        <f>(C13-B13)</f>
        <v>0.15555555555555495</v>
      </c>
      <c r="E13" s="40" t="s">
        <v>23</v>
      </c>
      <c r="F13" s="41" t="s">
        <v>24</v>
      </c>
    </row>
    <row r="14" spans="1:6">
      <c r="A14" s="62">
        <f>DATE(2021,2,1)</f>
        <v>44228</v>
      </c>
      <c r="B14" s="49">
        <v>0.62986111111111098</v>
      </c>
      <c r="C14" s="49">
        <v>0.68888888888888899</v>
      </c>
      <c r="D14" s="43">
        <f>(C14-B14)</f>
        <v>5.9027777777778012E-2</v>
      </c>
      <c r="E14" s="44" t="s">
        <v>25</v>
      </c>
      <c r="F14" s="37" t="s">
        <v>26</v>
      </c>
    </row>
    <row r="15" spans="1:6">
      <c r="A15" s="38">
        <f>DATE(2021,2,2)</f>
        <v>44229</v>
      </c>
      <c r="B15" s="46">
        <v>0.46875</v>
      </c>
      <c r="C15" s="46">
        <v>0.58333333333333304</v>
      </c>
      <c r="D15" s="47">
        <f>(C15-B15)</f>
        <v>0.11458333333333304</v>
      </c>
      <c r="E15" s="40" t="s">
        <v>27</v>
      </c>
      <c r="F15" s="41" t="s">
        <v>24</v>
      </c>
    </row>
    <row r="16" spans="1:6">
      <c r="A16" s="42">
        <f>DATE(2021,2,2)</f>
        <v>44229</v>
      </c>
      <c r="B16" s="49">
        <v>0.58333333333333304</v>
      </c>
      <c r="C16" s="49">
        <v>0.61111111111111105</v>
      </c>
      <c r="D16" s="43">
        <f>(C16-B16)</f>
        <v>2.7777777777778012E-2</v>
      </c>
      <c r="E16" s="44" t="s">
        <v>28</v>
      </c>
      <c r="F16" s="37"/>
    </row>
    <row r="17" spans="1:6">
      <c r="A17" s="38">
        <f>DATE(2021,2,2)</f>
        <v>44229</v>
      </c>
      <c r="B17" s="46">
        <v>0.61111111111111105</v>
      </c>
      <c r="C17" s="46">
        <v>0.62847222222222199</v>
      </c>
      <c r="D17" s="51">
        <f>(C17-B17)</f>
        <v>1.7361111111110938E-2</v>
      </c>
      <c r="E17" s="40" t="s">
        <v>27</v>
      </c>
      <c r="F17" s="41" t="s">
        <v>24</v>
      </c>
    </row>
    <row r="18" spans="1:6">
      <c r="A18" s="42">
        <f>DATE(2021,2,2)</f>
        <v>44229</v>
      </c>
      <c r="B18" s="49">
        <v>0.375</v>
      </c>
      <c r="C18" s="49">
        <v>0.70833333333333304</v>
      </c>
      <c r="D18" s="43">
        <f>(C18-B18)</f>
        <v>0.33333333333333304</v>
      </c>
      <c r="E18" s="44" t="s">
        <v>27</v>
      </c>
      <c r="F18" s="37" t="s">
        <v>24</v>
      </c>
    </row>
    <row r="19" spans="1:6">
      <c r="A19" s="38">
        <f>DATE(2021,2,2)</f>
        <v>44229</v>
      </c>
      <c r="B19" s="46">
        <v>0.77083333333333304</v>
      </c>
      <c r="C19" s="46">
        <v>0.8125</v>
      </c>
      <c r="D19" s="51">
        <f>(C19-B19)</f>
        <v>4.1666666666666963E-2</v>
      </c>
      <c r="E19" s="40" t="s">
        <v>27</v>
      </c>
      <c r="F19" s="41" t="s">
        <v>24</v>
      </c>
    </row>
    <row r="20" spans="1:6">
      <c r="A20" s="42">
        <f>DATE(2021,2,3)</f>
        <v>44230</v>
      </c>
      <c r="B20" s="49">
        <v>0.375</v>
      </c>
      <c r="C20" s="49">
        <v>0.54166666666666696</v>
      </c>
      <c r="D20" s="43">
        <f>(C20-B20)</f>
        <v>0.16666666666666696</v>
      </c>
      <c r="E20" s="44" t="s">
        <v>27</v>
      </c>
      <c r="F20" s="61" t="s">
        <v>24</v>
      </c>
    </row>
    <row r="21" spans="1:6">
      <c r="A21" s="38">
        <f>DATE(2021,2,3)</f>
        <v>44230</v>
      </c>
      <c r="B21" s="46">
        <v>0.57638888888888895</v>
      </c>
      <c r="C21" s="46">
        <v>0.81944444444444398</v>
      </c>
      <c r="D21" s="51">
        <f>(C21-B21)</f>
        <v>0.24305555555555503</v>
      </c>
      <c r="E21" s="40" t="s">
        <v>29</v>
      </c>
      <c r="F21" s="41" t="s">
        <v>24</v>
      </c>
    </row>
    <row r="22" spans="1:6">
      <c r="A22" s="42">
        <f>DATE(2021,2,6)</f>
        <v>44233</v>
      </c>
      <c r="B22" s="49">
        <v>0.45833333333333298</v>
      </c>
      <c r="C22" s="49">
        <v>0.52083333333333304</v>
      </c>
      <c r="D22" s="43">
        <f>(C22-B22)</f>
        <v>6.2500000000000056E-2</v>
      </c>
      <c r="E22" s="44" t="s">
        <v>30</v>
      </c>
      <c r="F22" s="61" t="s">
        <v>31</v>
      </c>
    </row>
    <row r="23" spans="1:6">
      <c r="A23" s="38">
        <f>DATE(2021,2,7)</f>
        <v>44234</v>
      </c>
      <c r="B23" s="46">
        <v>0.45833333333333298</v>
      </c>
      <c r="C23" s="46">
        <v>0.67708333333333304</v>
      </c>
      <c r="D23" s="43">
        <f>(C23-B23)</f>
        <v>0.21875000000000006</v>
      </c>
      <c r="E23" s="40" t="s">
        <v>30</v>
      </c>
      <c r="F23" s="41" t="s">
        <v>31</v>
      </c>
    </row>
    <row r="24" spans="1:6">
      <c r="A24" s="42"/>
      <c r="B24" s="49"/>
      <c r="C24" s="49"/>
      <c r="D24" s="43">
        <f>(C24-B24)</f>
        <v>0</v>
      </c>
      <c r="E24" s="44"/>
      <c r="F24" s="61"/>
    </row>
    <row r="25" spans="1:6">
      <c r="A25" s="54"/>
      <c r="B25" s="55"/>
      <c r="C25" s="55"/>
      <c r="D25" s="56">
        <f>(C25-B25)</f>
        <v>0</v>
      </c>
      <c r="E25" s="57"/>
      <c r="F25" s="58"/>
    </row>
    <row r="26" spans="1:6" ht="19.7">
      <c r="A26" s="59" t="s">
        <v>15</v>
      </c>
      <c r="B26" s="60"/>
      <c r="C26" s="60"/>
      <c r="D26" s="60"/>
      <c r="E26" s="60"/>
    </row>
    <row r="27" spans="1:6">
      <c r="A27" s="60"/>
      <c r="B27" s="60"/>
      <c r="C27" s="60"/>
      <c r="D27" s="60"/>
      <c r="E27" s="60"/>
    </row>
    <row r="28" spans="1:6">
      <c r="A28" s="60"/>
      <c r="B28" s="60"/>
      <c r="C28" s="60"/>
      <c r="D28" s="60"/>
      <c r="E28" s="60"/>
    </row>
    <row r="29" spans="1:6">
      <c r="A29" s="60"/>
      <c r="B29" s="60"/>
      <c r="C29" s="60"/>
      <c r="D29" s="60"/>
      <c r="E29" s="60"/>
    </row>
    <row r="30" spans="1:6">
      <c r="A30" s="60"/>
      <c r="B30" s="60"/>
      <c r="C30" s="60"/>
      <c r="D30" s="60"/>
      <c r="E30" s="60"/>
    </row>
    <row r="31" spans="1:6">
      <c r="A31" s="60"/>
      <c r="B31" s="60"/>
      <c r="C31" s="60"/>
      <c r="D31" s="60"/>
      <c r="E31" s="60"/>
    </row>
  </sheetData>
  <conditionalFormatting sqref="A10:C25">
    <cfRule type="expression" dxfId="177" priority="2">
      <formula>EVEN(ROW())=ROW()</formula>
    </cfRule>
  </conditionalFormatting>
  <conditionalFormatting sqref="E23:E25 E10:E21">
    <cfRule type="expression" dxfId="176" priority="3">
      <formula>SEARCH("Oppgaver: ",E11:E26)</formula>
    </cfRule>
    <cfRule type="expression" dxfId="175" priority="4">
      <formula>SEARCH("Logg: ",E11:E26)</formula>
    </cfRule>
    <cfRule type="expression" dxfId="174" priority="5">
      <formula>SEARCH("Logg/Oppgaver: ",E11:E26)</formula>
    </cfRule>
    <cfRule type="expression" dxfId="173" priority="6">
      <formula>SEARCH("Administrativt: ",E11:E26)</formula>
    </cfRule>
    <cfRule type="expression" dxfId="172" priority="7">
      <formula>SEARCH("Utvikling: ",E11:E26)</formula>
    </cfRule>
    <cfRule type="expression" dxfId="171" priority="8">
      <formula>SEARCH("Teori: ",E11:E26)</formula>
    </cfRule>
    <cfRule type="expression" dxfId="170" priority="9">
      <formula>EVEN(ROW())=ROW()</formula>
    </cfRule>
  </conditionalFormatting>
  <conditionalFormatting sqref="F24 F20">
    <cfRule type="expression" dxfId="169" priority="10">
      <formula>SEARCH("Oppgaver: ",F20:F33)</formula>
    </cfRule>
    <cfRule type="expression" dxfId="168" priority="11">
      <formula>SEARCH("Logg: ",F20:F33)</formula>
    </cfRule>
    <cfRule type="expression" dxfId="167" priority="12">
      <formula>SEARCH("Logg/Oppgaver: ",F20:F33)</formula>
    </cfRule>
    <cfRule type="expression" dxfId="166" priority="13">
      <formula>SEARCH("Administrativt: ",F20:F33)</formula>
    </cfRule>
    <cfRule type="expression" dxfId="165" priority="14">
      <formula>SEARCH("Utvikling: ",F20:F33)</formula>
    </cfRule>
    <cfRule type="expression" dxfId="164" priority="15">
      <formula>SEARCH("Teori: ",F20:F33)</formula>
    </cfRule>
    <cfRule type="expression" dxfId="163" priority="16">
      <formula>EVEN(ROW())=ROW()</formula>
    </cfRule>
  </conditionalFormatting>
  <conditionalFormatting sqref="F18">
    <cfRule type="expression" dxfId="162" priority="17">
      <formula>SEARCH("Oppgaver: ",F18:F33)</formula>
    </cfRule>
    <cfRule type="expression" dxfId="161" priority="18">
      <formula>SEARCH("Logg: ",F18:F33)</formula>
    </cfRule>
    <cfRule type="expression" dxfId="160" priority="19">
      <formula>SEARCH("Logg/Oppgaver: ",F18:F33)</formula>
    </cfRule>
    <cfRule type="expression" dxfId="159" priority="20">
      <formula>SEARCH("Administrativt: ",F18:F33)</formula>
    </cfRule>
    <cfRule type="expression" dxfId="158" priority="21">
      <formula>SEARCH("Utvikling: ",F18:F33)</formula>
    </cfRule>
    <cfRule type="expression" dxfId="157" priority="22">
      <formula>SEARCH("Teori: ",F18:F33)</formula>
    </cfRule>
    <cfRule type="expression" dxfId="156" priority="23">
      <formula>EVEN(ROW())=ROW()</formula>
    </cfRule>
  </conditionalFormatting>
  <conditionalFormatting sqref="F16">
    <cfRule type="expression" dxfId="155" priority="24">
      <formula>SEARCH("Oppgaver: ",F16:F31)</formula>
    </cfRule>
    <cfRule type="expression" dxfId="154" priority="25">
      <formula>SEARCH("Logg: ",F16:F31)</formula>
    </cfRule>
    <cfRule type="expression" dxfId="153" priority="26">
      <formula>SEARCH("Logg/Oppgaver: ",F16:F31)</formula>
    </cfRule>
    <cfRule type="expression" dxfId="152" priority="27">
      <formula>SEARCH("Administrativt: ",F16:F31)</formula>
    </cfRule>
    <cfRule type="expression" dxfId="151" priority="28">
      <formula>SEARCH("Utvikling: ",F16:F31)</formula>
    </cfRule>
    <cfRule type="expression" dxfId="150" priority="29">
      <formula>SEARCH("Teori: ",F16:F31)</formula>
    </cfRule>
    <cfRule type="expression" dxfId="149" priority="30">
      <formula>EVEN(ROW())=ROW()</formula>
    </cfRule>
  </conditionalFormatting>
  <conditionalFormatting sqref="F14">
    <cfRule type="expression" dxfId="148" priority="31">
      <formula>SEARCH("Oppgaver: ",F14:F29)</formula>
    </cfRule>
    <cfRule type="expression" dxfId="147" priority="32">
      <formula>SEARCH("Logg: ",F14:F29)</formula>
    </cfRule>
    <cfRule type="expression" dxfId="146" priority="33">
      <formula>SEARCH("Logg/Oppgaver: ",F14:F29)</formula>
    </cfRule>
    <cfRule type="expression" dxfId="145" priority="34">
      <formula>SEARCH("Administrativt: ",F14:F29)</formula>
    </cfRule>
    <cfRule type="expression" dxfId="144" priority="35">
      <formula>SEARCH("Utvikling: ",F14:F29)</formula>
    </cfRule>
    <cfRule type="expression" dxfId="143" priority="36">
      <formula>SEARCH("Teori: ",F14:F29)</formula>
    </cfRule>
    <cfRule type="expression" dxfId="142" priority="37">
      <formula>EVEN(ROW())=ROW()</formula>
    </cfRule>
  </conditionalFormatting>
  <conditionalFormatting sqref="F12">
    <cfRule type="expression" dxfId="141" priority="38">
      <formula>SEARCH("Oppgaver: ",F12:F27)</formula>
    </cfRule>
    <cfRule type="expression" dxfId="140" priority="39">
      <formula>SEARCH("Logg: ",F12:F27)</formula>
    </cfRule>
    <cfRule type="expression" dxfId="139" priority="40">
      <formula>SEARCH("Logg/Oppgaver: ",F12:F27)</formula>
    </cfRule>
    <cfRule type="expression" dxfId="138" priority="41">
      <formula>SEARCH("Administrativt: ",F12:F27)</formula>
    </cfRule>
    <cfRule type="expression" dxfId="137" priority="42">
      <formula>SEARCH("Utvikling: ",F12:F27)</formula>
    </cfRule>
    <cfRule type="expression" dxfId="136" priority="43">
      <formula>SEARCH("Teori: ",F12:F27)</formula>
    </cfRule>
    <cfRule type="expression" dxfId="135" priority="44">
      <formula>EVEN(ROW())=ROW()</formula>
    </cfRule>
  </conditionalFormatting>
  <conditionalFormatting sqref="F10">
    <cfRule type="expression" dxfId="134" priority="45">
      <formula>SEARCH("Oppgaver: ",F10:F25)</formula>
    </cfRule>
    <cfRule type="expression" dxfId="133" priority="46">
      <formula>SEARCH("Logg: ",F10:F25)</formula>
    </cfRule>
    <cfRule type="expression" dxfId="132" priority="47">
      <formula>SEARCH("Logg/Oppgaver: ",F10:F25)</formula>
    </cfRule>
    <cfRule type="expression" dxfId="131" priority="48">
      <formula>SEARCH("Administrativt: ",F10:F25)</formula>
    </cfRule>
    <cfRule type="expression" dxfId="130" priority="49">
      <formula>SEARCH("Utvikling: ",F10:F25)</formula>
    </cfRule>
    <cfRule type="expression" dxfId="129" priority="50">
      <formula>SEARCH("Teori: ",F10:F25)</formula>
    </cfRule>
    <cfRule type="expression" dxfId="128" priority="51">
      <formula>EVEN(ROW())=ROW()</formula>
    </cfRule>
  </conditionalFormatting>
  <conditionalFormatting sqref="D10:D25">
    <cfRule type="cellIs" dxfId="127" priority="52" operator="equal">
      <formula>0</formula>
    </cfRule>
  </conditionalFormatting>
  <conditionalFormatting sqref="D10:D24">
    <cfRule type="expression" dxfId="126" priority="53">
      <formula>EVEN(ROW())=ROW()</formula>
    </cfRule>
  </conditionalFormatting>
  <conditionalFormatting sqref="E22">
    <cfRule type="expression" dxfId="125" priority="54">
      <formula>SEARCH("Oppgaver: ",E23:E36)</formula>
    </cfRule>
    <cfRule type="expression" dxfId="124" priority="55">
      <formula>SEARCH("Logg: ",E23:E36)</formula>
    </cfRule>
    <cfRule type="expression" dxfId="123" priority="56">
      <formula>SEARCH("Logg/Oppgaver: ",E23:E36)</formula>
    </cfRule>
    <cfRule type="expression" dxfId="122" priority="57">
      <formula>SEARCH("Administrativt: ",E23:E36)</formula>
    </cfRule>
    <cfRule type="expression" dxfId="121" priority="58">
      <formula>SEARCH("Utvikling: ",E23:E36)</formula>
    </cfRule>
    <cfRule type="expression" dxfId="120" priority="59">
      <formula>SEARCH("Teori: ",E23:E36)</formula>
    </cfRule>
    <cfRule type="expression" dxfId="119" priority="60">
      <formula>EVEN(ROW())=ROW()</formula>
    </cfRule>
  </conditionalFormatting>
  <conditionalFormatting sqref="F22">
    <cfRule type="expression" dxfId="118" priority="61">
      <formula>SEARCH("Oppgaver: ",F22:F33)</formula>
    </cfRule>
    <cfRule type="expression" dxfId="117" priority="62">
      <formula>SEARCH("Logg: ",F22:F33)</formula>
    </cfRule>
    <cfRule type="expression" dxfId="116" priority="63">
      <formula>SEARCH("Logg/Oppgaver: ",F22:F33)</formula>
    </cfRule>
    <cfRule type="expression" dxfId="115" priority="64">
      <formula>SEARCH("Administrativt: ",F22:F33)</formula>
    </cfRule>
    <cfRule type="expression" dxfId="114" priority="65">
      <formula>SEARCH("Utvikling: ",F22:F33)</formula>
    </cfRule>
    <cfRule type="expression" dxfId="113" priority="66">
      <formula>SEARCH("Teori: ",F22:F33)</formula>
    </cfRule>
    <cfRule type="expression" dxfId="112" priority="67">
      <formula>EVEN(ROW())=ROW()</formula>
    </cfRule>
  </conditionalFormatting>
  <conditionalFormatting sqref="D25">
    <cfRule type="expression" dxfId="111" priority="68">
      <formula>EVEN(ROW())=ROW()</formula>
    </cfRule>
  </conditionalFormatting>
  <dataValidations count="1">
    <dataValidation allowBlank="1" showInputMessage="1" sqref="E10:F10 E11:E13 F12 E14:F14 E15:E17 F16 E18:F18 E19:E21 F20 E22:F22 E23:E25 F24" xr:uid="{00000000-0002-0000-0200-000000000000}">
      <formula1>0</formula1>
      <formula2>0</formula2>
    </dataValidation>
  </dataValidations>
  <pageMargins left="0.25" right="0.25" top="0.75" bottom="0.75" header="0.51180555555555496" footer="0.51180555555555496"/>
  <pageSetup paperSize="9" firstPageNumber="0" fitToHeight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F27"/>
  <sheetViews>
    <sheetView tabSelected="1" zoomScale="140" zoomScaleNormal="140" workbookViewId="0">
      <selection activeCell="E18" sqref="E18"/>
    </sheetView>
  </sheetViews>
  <sheetFormatPr defaultColWidth="11.5703125" defaultRowHeight="15"/>
  <cols>
    <col min="1" max="1" width="22.140625" customWidth="1"/>
    <col min="2" max="2" width="21.5703125" customWidth="1"/>
    <col min="3" max="3" width="13.85546875" customWidth="1"/>
    <col min="4" max="4" width="14.7109375" customWidth="1"/>
    <col min="5" max="5" width="29.5703125" customWidth="1"/>
    <col min="6" max="6" width="9.85546875" customWidth="1"/>
  </cols>
  <sheetData>
    <row r="1" spans="1:6" ht="24.75">
      <c r="A1" s="1" t="str">
        <f>_xlfn.CONCAT("Timeliste - Mats-Erik Eriksen - Uke ",WEEKNUM(A4,21))</f>
        <v>Timeliste - Mats-Erik Eriksen - Uke 6</v>
      </c>
      <c r="B1" s="2"/>
      <c r="C1" s="3"/>
      <c r="D1" s="4"/>
      <c r="E1" s="4"/>
      <c r="F1" s="5"/>
    </row>
    <row r="2" spans="1:6" ht="16.5"/>
    <row r="3" spans="1:6" ht="30.75">
      <c r="A3" s="6" t="s">
        <v>0</v>
      </c>
      <c r="B3" s="7" t="s">
        <v>1</v>
      </c>
      <c r="C3" s="8" t="s">
        <v>2</v>
      </c>
      <c r="D3" s="9" t="s">
        <v>3</v>
      </c>
      <c r="E3" s="10" t="s">
        <v>4</v>
      </c>
    </row>
    <row r="4" spans="1:6" ht="13.9">
      <c r="A4" s="11">
        <f>DATE(2021,2,8)</f>
        <v>44235</v>
      </c>
      <c r="B4" s="12">
        <f>A4+6</f>
        <v>44241</v>
      </c>
      <c r="C4" s="13" t="s">
        <v>5</v>
      </c>
      <c r="D4" s="14">
        <f>SUMIF($E$10:$E$21,"Teori: *",$D$10:$D$21)</f>
        <v>0</v>
      </c>
      <c r="E4" s="15" t="e">
        <f ca="1">SUM(PREVSHEET(E4)+D4)</f>
        <v>#NAME?</v>
      </c>
    </row>
    <row r="5" spans="1:6" ht="30.75">
      <c r="A5" s="16" t="str">
        <f>CONCATENATE("Total tid brukt i uke ", MID(A1,37,1))</f>
        <v>Total tid brukt i uke 6</v>
      </c>
      <c r="B5" s="17" t="str">
        <f>CONCATENATE("Total tid prosjekt inntil uke ", MID(A1,37,1))</f>
        <v>Total tid prosjekt inntil uke 6</v>
      </c>
      <c r="C5" s="18" t="s">
        <v>6</v>
      </c>
      <c r="D5" s="14">
        <f>SUMIF($E$10:$E$21,"Utvikling: *",$D$10:$D$21)</f>
        <v>0</v>
      </c>
      <c r="E5" s="15" t="e">
        <f ca="1">SUM(PREVSHEET(E5)+D5)</f>
        <v>#NAME?</v>
      </c>
    </row>
    <row r="6" spans="1:6" ht="15.75">
      <c r="A6" s="19">
        <f>SUM($D$4:$D$7)</f>
        <v>0.60763888888888995</v>
      </c>
      <c r="B6" s="20" t="e">
        <f ca="1">SUM(PREVSHEET(B6)+A6)</f>
        <v>#NAME?</v>
      </c>
      <c r="C6" s="21" t="s">
        <v>7</v>
      </c>
      <c r="D6" s="14">
        <f>SUMIF($E$10:$E$21,"Administrativt: *",$D$10:$D$21)</f>
        <v>9.8611111111111038E-2</v>
      </c>
      <c r="E6" s="15" t="e">
        <f ca="1">SUM(PREVSHEET(E6)+D6)</f>
        <v>#NAME?</v>
      </c>
    </row>
    <row r="7" spans="1:6" ht="20.45" customHeight="1">
      <c r="A7" s="22"/>
      <c r="B7" s="23"/>
      <c r="C7" s="24" t="s">
        <v>8</v>
      </c>
      <c r="D7" s="25">
        <f>SUM(SUMIF($E$10:$E$21,"Logg: *",$D$10:$D$21),SUMIF($E$10:$E$21,"Oppgaver: *",$D$10:$D$21),SUMIF($E$10:$E$21,"Logg/Oppgaver: *",$D$10:$D$21),)</f>
        <v>0.50902777777777886</v>
      </c>
      <c r="E7" s="15" t="e">
        <f ca="1">SUM(PREVSHEET(E7)+D7)</f>
        <v>#NAME?</v>
      </c>
    </row>
    <row r="8" spans="1:6" ht="15.75">
      <c r="A8" s="26"/>
      <c r="B8" s="27"/>
      <c r="C8" s="28"/>
      <c r="D8" s="27"/>
      <c r="E8" s="27"/>
      <c r="F8" s="29"/>
    </row>
    <row r="9" spans="1:6" ht="15.75">
      <c r="A9" s="30" t="s">
        <v>9</v>
      </c>
      <c r="B9" s="31" t="s">
        <v>10</v>
      </c>
      <c r="C9" s="31" t="s">
        <v>11</v>
      </c>
      <c r="D9" s="31" t="s">
        <v>12</v>
      </c>
      <c r="E9" s="32" t="s">
        <v>13</v>
      </c>
      <c r="F9" s="33" t="s">
        <v>14</v>
      </c>
    </row>
    <row r="10" spans="1:6" ht="13.9">
      <c r="A10" s="34">
        <f>DATE(2021,2,8)</f>
        <v>44235</v>
      </c>
      <c r="B10" s="35">
        <v>0.5</v>
      </c>
      <c r="C10" s="35">
        <v>0.69791666666666696</v>
      </c>
      <c r="D10" s="35">
        <f>(C10-B10)</f>
        <v>0.19791666666666696</v>
      </c>
      <c r="E10" s="36" t="s">
        <v>32</v>
      </c>
      <c r="F10" s="37" t="s">
        <v>31</v>
      </c>
    </row>
    <row r="11" spans="1:6" ht="13.9">
      <c r="A11" s="38">
        <f>DATE(2021,2,9)</f>
        <v>44236</v>
      </c>
      <c r="B11" s="39">
        <v>0.52083333333333304</v>
      </c>
      <c r="C11" s="39">
        <v>0.57638888888888895</v>
      </c>
      <c r="D11" s="39">
        <f>(C11-B11)</f>
        <v>5.5555555555555913E-2</v>
      </c>
      <c r="E11" s="40" t="s">
        <v>32</v>
      </c>
      <c r="F11" s="41" t="s">
        <v>31</v>
      </c>
    </row>
    <row r="12" spans="1:6" ht="13.9">
      <c r="A12" s="42">
        <f>DATE(2021,2,9)</f>
        <v>44236</v>
      </c>
      <c r="B12" s="43">
        <v>0.58333333333333304</v>
      </c>
      <c r="C12" s="43">
        <v>0.61111111111111105</v>
      </c>
      <c r="D12" s="43">
        <f>(C12-B12)</f>
        <v>2.7777777777778012E-2</v>
      </c>
      <c r="E12" s="44" t="s">
        <v>33</v>
      </c>
      <c r="F12" s="37"/>
    </row>
    <row r="13" spans="1:6" ht="13.9">
      <c r="A13" s="38">
        <f>DATE(2021,2,9)</f>
        <v>44236</v>
      </c>
      <c r="B13" s="46">
        <v>0.61111111111111105</v>
      </c>
      <c r="C13" s="46">
        <v>0.70833333333333304</v>
      </c>
      <c r="D13" s="47">
        <f>(C13-B13)</f>
        <v>9.7222222222221988E-2</v>
      </c>
      <c r="E13" s="40" t="s">
        <v>34</v>
      </c>
      <c r="F13" s="41" t="s">
        <v>35</v>
      </c>
    </row>
    <row r="14" spans="1:6" ht="13.9">
      <c r="A14" s="62">
        <f>DATE(2021,2,10)</f>
        <v>44237</v>
      </c>
      <c r="B14" s="49">
        <v>0.5</v>
      </c>
      <c r="C14" s="49">
        <v>0.54166666666666696</v>
      </c>
      <c r="D14" s="43">
        <f>(C14-B14)</f>
        <v>4.1666666666666963E-2</v>
      </c>
      <c r="E14" s="44" t="s">
        <v>32</v>
      </c>
      <c r="F14" s="37" t="s">
        <v>31</v>
      </c>
    </row>
    <row r="15" spans="1:6" ht="13.9">
      <c r="A15" s="38">
        <f>DATE(2021,2,11)</f>
        <v>44238</v>
      </c>
      <c r="B15" s="46">
        <v>0.5</v>
      </c>
      <c r="C15" s="46">
        <v>0.55000000000000004</v>
      </c>
      <c r="D15" s="47">
        <f>(C15-B15)</f>
        <v>5.0000000000000044E-2</v>
      </c>
      <c r="E15" s="40" t="s">
        <v>36</v>
      </c>
      <c r="F15" s="41"/>
    </row>
    <row r="16" spans="1:6" ht="13.9">
      <c r="A16" s="42">
        <f>DATE(2021,2,11)</f>
        <v>44238</v>
      </c>
      <c r="B16" s="49">
        <v>0.55000000000000004</v>
      </c>
      <c r="C16" s="49">
        <v>0.57986111111111105</v>
      </c>
      <c r="D16" s="43">
        <f>(C16-B16)</f>
        <v>2.9861111111111005E-2</v>
      </c>
      <c r="E16" s="44" t="s">
        <v>32</v>
      </c>
      <c r="F16" s="37" t="s">
        <v>31</v>
      </c>
    </row>
    <row r="17" spans="1:6">
      <c r="A17" s="38">
        <f>DATE(2021,2,12)</f>
        <v>44239</v>
      </c>
      <c r="B17" s="46">
        <v>0.41666666666666702</v>
      </c>
      <c r="C17" s="46">
        <v>0.4375</v>
      </c>
      <c r="D17" s="51">
        <f>(C17-B17)</f>
        <v>2.0833333333332982E-2</v>
      </c>
      <c r="E17" s="40" t="s">
        <v>37</v>
      </c>
      <c r="F17" s="41"/>
    </row>
    <row r="18" spans="1:6">
      <c r="A18" s="42">
        <f>DATE(2021,2,14)</f>
        <v>44241</v>
      </c>
      <c r="B18" s="49">
        <v>0.5</v>
      </c>
      <c r="C18" s="49">
        <v>0.58680555555555602</v>
      </c>
      <c r="D18" s="43">
        <f>(C18-B18)</f>
        <v>8.6805555555556024E-2</v>
      </c>
      <c r="E18" s="40" t="s">
        <v>32</v>
      </c>
      <c r="F18" s="37" t="s">
        <v>31</v>
      </c>
    </row>
    <row r="19" spans="1:6">
      <c r="A19" s="38"/>
      <c r="B19" s="46"/>
      <c r="C19" s="46"/>
      <c r="D19" s="51">
        <f>(C19-B19)</f>
        <v>0</v>
      </c>
      <c r="E19" s="40"/>
      <c r="F19" s="41"/>
    </row>
    <row r="20" spans="1:6">
      <c r="A20" s="53"/>
      <c r="B20" s="49"/>
      <c r="C20" s="49"/>
      <c r="D20" s="43">
        <f>(C20120)</f>
        <v>0</v>
      </c>
      <c r="E20" s="40"/>
      <c r="F20" s="61"/>
    </row>
    <row r="21" spans="1:6">
      <c r="A21" s="54"/>
      <c r="B21" s="55"/>
      <c r="C21" s="55"/>
      <c r="D21" s="56">
        <f>(C21-B21)</f>
        <v>0</v>
      </c>
      <c r="E21" s="57"/>
      <c r="F21" s="58"/>
    </row>
    <row r="22" spans="1:6" ht="21">
      <c r="A22" s="59" t="s">
        <v>15</v>
      </c>
      <c r="B22" s="60"/>
      <c r="C22" s="60"/>
      <c r="D22" s="60"/>
      <c r="E22" s="60"/>
    </row>
    <row r="23" spans="1:6">
      <c r="A23" s="60"/>
      <c r="B23" s="60"/>
      <c r="C23" s="60"/>
      <c r="D23" s="60"/>
      <c r="E23" s="60"/>
    </row>
    <row r="24" spans="1:6">
      <c r="A24" s="60"/>
      <c r="B24" s="60"/>
      <c r="C24" s="60"/>
      <c r="D24" s="60"/>
      <c r="E24" s="60"/>
    </row>
    <row r="25" spans="1:6">
      <c r="A25" s="60"/>
      <c r="B25" s="60"/>
      <c r="C25" s="60"/>
      <c r="D25" s="60"/>
      <c r="E25" s="60"/>
    </row>
    <row r="26" spans="1:6">
      <c r="A26" s="60"/>
      <c r="B26" s="60"/>
      <c r="C26" s="60"/>
      <c r="D26" s="60"/>
      <c r="E26" s="60"/>
    </row>
    <row r="27" spans="1:6">
      <c r="A27" s="60"/>
      <c r="B27" s="60"/>
      <c r="C27" s="60"/>
      <c r="D27" s="60"/>
      <c r="E27" s="60"/>
    </row>
  </sheetData>
  <conditionalFormatting sqref="A10:C21">
    <cfRule type="expression" dxfId="110" priority="9">
      <formula>EVEN(ROW())=ROW()</formula>
    </cfRule>
  </conditionalFormatting>
  <conditionalFormatting sqref="E10:E20">
    <cfRule type="expression" dxfId="109" priority="10">
      <formula>SEARCH("Oppgaver: ",E11:E22)</formula>
    </cfRule>
    <cfRule type="expression" dxfId="108" priority="11">
      <formula>SEARCH("Logg: ",E11:E22)</formula>
    </cfRule>
    <cfRule type="expression" dxfId="107" priority="12">
      <formula>SEARCH("Logg/Oppgaver: ",E11:E22)</formula>
    </cfRule>
    <cfRule type="expression" dxfId="106" priority="13">
      <formula>SEARCH("Administrativt: ",E11:E22)</formula>
    </cfRule>
    <cfRule type="expression" dxfId="105" priority="14">
      <formula>SEARCH("Utvikling: ",E11:E22)</formula>
    </cfRule>
    <cfRule type="expression" dxfId="104" priority="15">
      <formula>SEARCH("Teori: ",E11:E22)</formula>
    </cfRule>
    <cfRule type="expression" dxfId="103" priority="16">
      <formula>EVEN(ROW())=ROW()</formula>
    </cfRule>
  </conditionalFormatting>
  <conditionalFormatting sqref="F20">
    <cfRule type="expression" dxfId="102" priority="17">
      <formula>SEARCH("Oppgaver: ",F20:F31)</formula>
    </cfRule>
    <cfRule type="expression" dxfId="101" priority="18">
      <formula>SEARCH("Logg: ",F20:F31)</formula>
    </cfRule>
    <cfRule type="expression" dxfId="100" priority="19">
      <formula>SEARCH("Logg/Oppgaver: ",F20:F31)</formula>
    </cfRule>
    <cfRule type="expression" dxfId="99" priority="20">
      <formula>SEARCH("Administrativt: ",F20:F31)</formula>
    </cfRule>
    <cfRule type="expression" dxfId="98" priority="21">
      <formula>SEARCH("Utvikling: ",F20:F31)</formula>
    </cfRule>
    <cfRule type="expression" dxfId="97" priority="22">
      <formula>SEARCH("Teori: ",F20:F31)</formula>
    </cfRule>
    <cfRule type="expression" dxfId="96" priority="23">
      <formula>EVEN(ROW())=ROW()</formula>
    </cfRule>
  </conditionalFormatting>
  <conditionalFormatting sqref="F18">
    <cfRule type="expression" dxfId="95" priority="24">
      <formula>SEARCH("Oppgaver: ",F18:F29)</formula>
    </cfRule>
    <cfRule type="expression" dxfId="94" priority="25">
      <formula>SEARCH("Logg: ",F18:F29)</formula>
    </cfRule>
    <cfRule type="expression" dxfId="93" priority="26">
      <formula>SEARCH("Logg/Oppgaver: ",F18:F29)</formula>
    </cfRule>
    <cfRule type="expression" dxfId="92" priority="27">
      <formula>SEARCH("Administrativt: ",F18:F29)</formula>
    </cfRule>
    <cfRule type="expression" dxfId="91" priority="28">
      <formula>SEARCH("Utvikling: ",F18:F29)</formula>
    </cfRule>
    <cfRule type="expression" dxfId="90" priority="29">
      <formula>SEARCH("Teori: ",F18:F29)</formula>
    </cfRule>
    <cfRule type="expression" dxfId="89" priority="30">
      <formula>EVEN(ROW())=ROW()</formula>
    </cfRule>
  </conditionalFormatting>
  <conditionalFormatting sqref="F16">
    <cfRule type="expression" dxfId="88" priority="31">
      <formula>SEARCH("Oppgaver: ",F16:F27)</formula>
    </cfRule>
    <cfRule type="expression" dxfId="87" priority="32">
      <formula>SEARCH("Logg: ",F16:F27)</formula>
    </cfRule>
    <cfRule type="expression" dxfId="86" priority="33">
      <formula>SEARCH("Logg/Oppgaver: ",F16:F27)</formula>
    </cfRule>
    <cfRule type="expression" dxfId="85" priority="34">
      <formula>SEARCH("Administrativt: ",F16:F27)</formula>
    </cfRule>
    <cfRule type="expression" dxfId="84" priority="35">
      <formula>SEARCH("Utvikling: ",F16:F27)</formula>
    </cfRule>
    <cfRule type="expression" dxfId="83" priority="36">
      <formula>SEARCH("Teori: ",F16:F27)</formula>
    </cfRule>
    <cfRule type="expression" dxfId="82" priority="37">
      <formula>EVEN(ROW())=ROW()</formula>
    </cfRule>
  </conditionalFormatting>
  <conditionalFormatting sqref="F14">
    <cfRule type="expression" dxfId="81" priority="38">
      <formula>SEARCH("Oppgaver: ",F14:F25)</formula>
    </cfRule>
    <cfRule type="expression" dxfId="80" priority="39">
      <formula>SEARCH("Logg: ",F14:F25)</formula>
    </cfRule>
    <cfRule type="expression" dxfId="79" priority="40">
      <formula>SEARCH("Logg/Oppgaver: ",F14:F25)</formula>
    </cfRule>
    <cfRule type="expression" dxfId="78" priority="41">
      <formula>SEARCH("Administrativt: ",F14:F25)</formula>
    </cfRule>
    <cfRule type="expression" dxfId="77" priority="42">
      <formula>SEARCH("Utvikling: ",F14:F25)</formula>
    </cfRule>
    <cfRule type="expression" dxfId="76" priority="43">
      <formula>SEARCH("Teori: ",F14:F25)</formula>
    </cfRule>
    <cfRule type="expression" dxfId="75" priority="44">
      <formula>EVEN(ROW())=ROW()</formula>
    </cfRule>
  </conditionalFormatting>
  <conditionalFormatting sqref="F12">
    <cfRule type="expression" dxfId="74" priority="45">
      <formula>SEARCH("Oppgaver: ",F12:F23)</formula>
    </cfRule>
    <cfRule type="expression" dxfId="73" priority="46">
      <formula>SEARCH("Logg: ",F12:F23)</formula>
    </cfRule>
    <cfRule type="expression" dxfId="72" priority="47">
      <formula>SEARCH("Logg/Oppgaver: ",F12:F23)</formula>
    </cfRule>
    <cfRule type="expression" dxfId="71" priority="48">
      <formula>SEARCH("Administrativt: ",F12:F23)</formula>
    </cfRule>
    <cfRule type="expression" dxfId="70" priority="49">
      <formula>SEARCH("Utvikling: ",F12:F23)</formula>
    </cfRule>
    <cfRule type="expression" dxfId="69" priority="50">
      <formula>SEARCH("Teori: ",F12:F23)</formula>
    </cfRule>
    <cfRule type="expression" dxfId="68" priority="51">
      <formula>EVEN(ROW())=ROW()</formula>
    </cfRule>
  </conditionalFormatting>
  <conditionalFormatting sqref="F10">
    <cfRule type="expression" dxfId="67" priority="52">
      <formula>SEARCH("Oppgaver: ",F10:F21)</formula>
    </cfRule>
    <cfRule type="expression" dxfId="66" priority="53">
      <formula>SEARCH("Logg: ",F10:F21)</formula>
    </cfRule>
    <cfRule type="expression" dxfId="65" priority="54">
      <formula>SEARCH("Logg/Oppgaver: ",F10:F21)</formula>
    </cfRule>
    <cfRule type="expression" dxfId="64" priority="55">
      <formula>SEARCH("Administrativt: ",F10:F21)</formula>
    </cfRule>
    <cfRule type="expression" dxfId="63" priority="56">
      <formula>SEARCH("Utvikling: ",F10:F21)</formula>
    </cfRule>
    <cfRule type="expression" dxfId="62" priority="57">
      <formula>SEARCH("Teori: ",F10:F21)</formula>
    </cfRule>
    <cfRule type="expression" dxfId="61" priority="58">
      <formula>EVEN(ROW())=ROW()</formula>
    </cfRule>
  </conditionalFormatting>
  <conditionalFormatting sqref="D10:D21">
    <cfRule type="cellIs" dxfId="60" priority="59" operator="equal">
      <formula>0</formula>
    </cfRule>
  </conditionalFormatting>
  <conditionalFormatting sqref="D10:D21">
    <cfRule type="expression" dxfId="59" priority="60">
      <formula>EVEN(ROW())=ROW()</formula>
    </cfRule>
  </conditionalFormatting>
  <conditionalFormatting sqref="E21">
    <cfRule type="expression" dxfId="58" priority="1">
      <formula>SEARCH("Oppgaver: ",E22:E37)</formula>
    </cfRule>
    <cfRule type="expression" dxfId="57" priority="2">
      <formula>SEARCH("Logg: ",E22:E37)</formula>
    </cfRule>
    <cfRule type="expression" dxfId="56" priority="3">
      <formula>SEARCH("Logg/Oppgaver: ",E22:E37)</formula>
    </cfRule>
    <cfRule type="expression" dxfId="55" priority="4">
      <formula>SEARCH("Administrativt: ",E22:E37)</formula>
    </cfRule>
    <cfRule type="expression" dxfId="54" priority="5">
      <formula>SEARCH("Utvikling: ",E22:E37)</formula>
    </cfRule>
    <cfRule type="expression" dxfId="53" priority="6">
      <formula>SEARCH("Teori: ",E22:E37)</formula>
    </cfRule>
    <cfRule type="expression" dxfId="52" priority="7">
      <formula>EVEN(ROW())=ROW()</formula>
    </cfRule>
  </conditionalFormatting>
  <dataValidations count="1">
    <dataValidation allowBlank="1" showInputMessage="1" sqref="E10:F10 E11:E13 F12 E14:F14 F18 F16 F20 E15:E21" xr:uid="{00000000-0002-0000-0300-000000000000}">
      <formula1>0</formula1>
      <formula2>0</formula2>
    </dataValidation>
  </dataValidations>
  <pageMargins left="0.25" right="0.25" top="0.75" bottom="0.75" header="0.51180555555555496" footer="0.51180555555555496"/>
  <pageSetup paperSize="9" firstPageNumber="0" fitToHeight="0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F27"/>
  <sheetViews>
    <sheetView zoomScale="140" zoomScaleNormal="140" workbookViewId="0">
      <selection activeCell="A5" sqref="A5"/>
    </sheetView>
  </sheetViews>
  <sheetFormatPr defaultColWidth="11.5703125" defaultRowHeight="15"/>
  <cols>
    <col min="1" max="1" width="22.140625" customWidth="1"/>
    <col min="2" max="2" width="21.5703125" customWidth="1"/>
    <col min="3" max="3" width="13.85546875" customWidth="1"/>
    <col min="4" max="4" width="14.7109375" customWidth="1"/>
    <col min="5" max="5" width="29.5703125" customWidth="1"/>
    <col min="6" max="6" width="9.85546875" customWidth="1"/>
  </cols>
  <sheetData>
    <row r="1" spans="1:6" ht="24.75">
      <c r="A1" s="1" t="str">
        <f>_xlfn.CONCAT("Timeliste - Mats-Erik Eriksen - Uke ",WEEKNUM(A4,21))</f>
        <v>Timeliste - Mats-Erik Eriksen - Uke 7</v>
      </c>
      <c r="B1" s="2"/>
      <c r="C1" s="3"/>
      <c r="D1" s="4"/>
      <c r="E1" s="4"/>
      <c r="F1" s="5"/>
    </row>
    <row r="2" spans="1:6" ht="16.5"/>
    <row r="3" spans="1:6" ht="30.75">
      <c r="A3" s="6" t="s">
        <v>0</v>
      </c>
      <c r="B3" s="7" t="s">
        <v>1</v>
      </c>
      <c r="C3" s="8" t="s">
        <v>2</v>
      </c>
      <c r="D3" s="9" t="s">
        <v>3</v>
      </c>
      <c r="E3" s="10" t="s">
        <v>4</v>
      </c>
    </row>
    <row r="4" spans="1:6" ht="13.9">
      <c r="A4" s="11">
        <f>DATE(2021,2,15)</f>
        <v>44242</v>
      </c>
      <c r="B4" s="12">
        <f>A4+6</f>
        <v>44248</v>
      </c>
      <c r="C4" s="13" t="s">
        <v>5</v>
      </c>
      <c r="D4" s="14">
        <f>SUMIF($E$10:$E$21,"Teori: *",$D$10:$D$21)</f>
        <v>0</v>
      </c>
      <c r="E4" s="15" t="e">
        <f ca="1">SUM(PREVSHEET(E4)+D4)</f>
        <v>#NAME?</v>
      </c>
    </row>
    <row r="5" spans="1:6" ht="30.75">
      <c r="A5" s="16" t="str">
        <f>CONCATENATE("Total tid brukt i uke ", MID(A1,37,1))</f>
        <v>Total tid brukt i uke 7</v>
      </c>
      <c r="B5" s="17" t="str">
        <f>CONCATENATE("Total tid prosjekt inntil uke ", MID(A1,37,1))</f>
        <v>Total tid prosjekt inntil uke 7</v>
      </c>
      <c r="C5" s="18" t="s">
        <v>6</v>
      </c>
      <c r="D5" s="14">
        <f>SUMIF($E$10:$E$21,"Utvikling: *",$D$10:$D$21)</f>
        <v>0</v>
      </c>
      <c r="E5" s="15" t="e">
        <f ca="1">SUM(PREVSHEET(E5)+D5)</f>
        <v>#NAME?</v>
      </c>
    </row>
    <row r="6" spans="1:6" ht="15.75">
      <c r="A6" s="19">
        <f>SUM($D$4:$D$7)</f>
        <v>0.17013888888888895</v>
      </c>
      <c r="B6" s="20" t="e">
        <f ca="1">SUM(PREVSHEET(B6)+A6)</f>
        <v>#NAME?</v>
      </c>
      <c r="C6" s="21" t="s">
        <v>7</v>
      </c>
      <c r="D6" s="14">
        <f>SUMIF($E$10:$E$21,"Administrativt: *",$D$10:$D$21)</f>
        <v>0</v>
      </c>
      <c r="E6" s="15" t="e">
        <f ca="1">SUM(PREVSHEET(E6)+D6)</f>
        <v>#NAME?</v>
      </c>
    </row>
    <row r="7" spans="1:6" ht="20.45" customHeight="1">
      <c r="A7" s="22"/>
      <c r="B7" s="23"/>
      <c r="C7" s="24" t="s">
        <v>8</v>
      </c>
      <c r="D7" s="25">
        <f>SUM(SUMIF($E$10:$E$21,"Logg: *",$D$10:$D$21),SUMIF($E$10:$E$21,"Oppgaver: *",$D$10:$D$21),SUMIF($E$10:$E$21,"Logg/Oppgaver: *",$D$10:$D$21),)</f>
        <v>0.17013888888888895</v>
      </c>
      <c r="E7" s="15" t="e">
        <f ca="1">SUM(PREVSHEET(E7)+D7)</f>
        <v>#NAME?</v>
      </c>
    </row>
    <row r="8" spans="1:6" ht="15.75">
      <c r="A8" s="26"/>
      <c r="B8" s="27"/>
      <c r="C8" s="28"/>
      <c r="D8" s="27"/>
      <c r="E8" s="27"/>
      <c r="F8" s="29"/>
    </row>
    <row r="9" spans="1:6" ht="15.75">
      <c r="A9" s="30" t="s">
        <v>9</v>
      </c>
      <c r="B9" s="31" t="s">
        <v>10</v>
      </c>
      <c r="C9" s="31" t="s">
        <v>11</v>
      </c>
      <c r="D9" s="31" t="s">
        <v>12</v>
      </c>
      <c r="E9" s="32" t="s">
        <v>13</v>
      </c>
      <c r="F9" s="33" t="s">
        <v>14</v>
      </c>
    </row>
    <row r="10" spans="1:6" ht="13.9">
      <c r="A10" s="34">
        <f>DATE(2021,2,15)</f>
        <v>44242</v>
      </c>
      <c r="B10" s="35">
        <v>0.5</v>
      </c>
      <c r="C10" s="35">
        <v>0.67013888888888895</v>
      </c>
      <c r="D10" s="35">
        <f>(C10-B10)</f>
        <v>0.17013888888888895</v>
      </c>
      <c r="E10" s="36" t="s">
        <v>32</v>
      </c>
      <c r="F10" s="37" t="s">
        <v>31</v>
      </c>
    </row>
    <row r="11" spans="1:6" ht="13.9">
      <c r="A11" s="38"/>
      <c r="B11" s="39"/>
      <c r="C11" s="39"/>
      <c r="D11" s="39">
        <f>(C11-B11)</f>
        <v>0</v>
      </c>
      <c r="E11" s="40"/>
      <c r="F11" s="41"/>
    </row>
    <row r="12" spans="1:6" ht="13.9">
      <c r="A12" s="42"/>
      <c r="B12" s="43"/>
      <c r="C12" s="43"/>
      <c r="D12" s="43">
        <f>(C12-B12)</f>
        <v>0</v>
      </c>
      <c r="E12" s="44"/>
      <c r="F12" s="37"/>
    </row>
    <row r="13" spans="1:6" ht="13.9">
      <c r="A13" s="38"/>
      <c r="B13" s="46"/>
      <c r="C13" s="46"/>
      <c r="D13" s="47">
        <f>(C13-B13)</f>
        <v>0</v>
      </c>
      <c r="E13" s="40"/>
      <c r="F13" s="41"/>
    </row>
    <row r="14" spans="1:6" ht="13.9">
      <c r="A14" s="62"/>
      <c r="B14" s="49"/>
      <c r="C14" s="49"/>
      <c r="D14" s="43">
        <f>(C14-B14)</f>
        <v>0</v>
      </c>
      <c r="E14" s="44"/>
      <c r="F14" s="37"/>
    </row>
    <row r="15" spans="1:6" ht="13.9">
      <c r="A15" s="38"/>
      <c r="B15" s="46"/>
      <c r="C15" s="46"/>
      <c r="D15" s="47">
        <f>(C15-B15)</f>
        <v>0</v>
      </c>
      <c r="E15" s="40"/>
      <c r="F15" s="41"/>
    </row>
    <row r="16" spans="1:6" ht="13.9">
      <c r="A16" s="42"/>
      <c r="B16" s="49"/>
      <c r="C16" s="49"/>
      <c r="D16" s="43">
        <f>(C16-B16)</f>
        <v>0</v>
      </c>
      <c r="E16" s="44"/>
      <c r="F16" s="37"/>
    </row>
    <row r="17" spans="1:6" ht="13.9">
      <c r="A17" s="38"/>
      <c r="B17" s="46"/>
      <c r="C17" s="46"/>
      <c r="D17" s="51">
        <f>(C17-B17)</f>
        <v>0</v>
      </c>
      <c r="E17" s="40"/>
      <c r="F17" s="41"/>
    </row>
    <row r="18" spans="1:6" ht="13.9">
      <c r="A18" s="42"/>
      <c r="B18" s="49"/>
      <c r="C18" s="49"/>
      <c r="D18" s="43">
        <f>(C18-B18)</f>
        <v>0</v>
      </c>
      <c r="E18" s="44"/>
      <c r="F18" s="37"/>
    </row>
    <row r="19" spans="1:6" ht="13.9">
      <c r="A19" s="38"/>
      <c r="B19" s="46"/>
      <c r="C19" s="46"/>
      <c r="D19" s="51">
        <f>(C19-B19)</f>
        <v>0</v>
      </c>
      <c r="E19" s="40"/>
      <c r="F19" s="41"/>
    </row>
    <row r="20" spans="1:6" ht="13.9">
      <c r="A20" s="53"/>
      <c r="B20" s="49"/>
      <c r="C20" s="49"/>
      <c r="D20" s="43">
        <f>(C20120)</f>
        <v>0</v>
      </c>
      <c r="E20" s="44"/>
      <c r="F20" s="61"/>
    </row>
    <row r="21" spans="1:6" ht="13.9">
      <c r="A21" s="54"/>
      <c r="B21" s="55"/>
      <c r="C21" s="55"/>
      <c r="D21" s="56">
        <f>(C21-B21)</f>
        <v>0</v>
      </c>
      <c r="E21" s="57"/>
      <c r="F21" s="58"/>
    </row>
    <row r="22" spans="1:6" ht="21.75">
      <c r="A22" s="59" t="s">
        <v>15</v>
      </c>
      <c r="B22" s="60"/>
      <c r="C22" s="60"/>
      <c r="D22" s="60"/>
      <c r="E22" s="60"/>
    </row>
    <row r="23" spans="1:6">
      <c r="A23" s="60"/>
      <c r="B23" s="60"/>
      <c r="C23" s="60"/>
      <c r="D23" s="60"/>
      <c r="E23" s="60"/>
    </row>
    <row r="24" spans="1:6">
      <c r="A24" s="60"/>
      <c r="B24" s="60"/>
      <c r="C24" s="60"/>
      <c r="D24" s="60"/>
      <c r="E24" s="60"/>
    </row>
    <row r="25" spans="1:6">
      <c r="A25" s="60"/>
      <c r="B25" s="60"/>
      <c r="C25" s="60"/>
      <c r="D25" s="60"/>
      <c r="E25" s="60"/>
    </row>
    <row r="26" spans="1:6">
      <c r="A26" s="60"/>
      <c r="B26" s="60"/>
      <c r="C26" s="60"/>
      <c r="D26" s="60"/>
      <c r="E26" s="60"/>
    </row>
    <row r="27" spans="1:6">
      <c r="A27" s="60"/>
      <c r="B27" s="60"/>
      <c r="C27" s="60"/>
      <c r="D27" s="60"/>
      <c r="E27" s="60"/>
    </row>
  </sheetData>
  <conditionalFormatting sqref="A10:C21">
    <cfRule type="expression" dxfId="51" priority="2">
      <formula>EVEN(ROW())=ROW()</formula>
    </cfRule>
  </conditionalFormatting>
  <conditionalFormatting sqref="E10:E21">
    <cfRule type="expression" dxfId="50" priority="3">
      <formula>SEARCH("Oppgaver: ",E11:E22)</formula>
    </cfRule>
    <cfRule type="expression" dxfId="49" priority="4">
      <formula>SEARCH("Logg: ",E11:E22)</formula>
    </cfRule>
    <cfRule type="expression" dxfId="48" priority="5">
      <formula>SEARCH("Logg/Oppgaver: ",E11:E22)</formula>
    </cfRule>
    <cfRule type="expression" dxfId="47" priority="6">
      <formula>SEARCH("Administrativt: ",E11:E22)</formula>
    </cfRule>
    <cfRule type="expression" dxfId="46" priority="7">
      <formula>SEARCH("Utvikling: ",E11:E22)</formula>
    </cfRule>
    <cfRule type="expression" dxfId="45" priority="8">
      <formula>SEARCH("Teori: ",E11:E22)</formula>
    </cfRule>
    <cfRule type="expression" dxfId="44" priority="9">
      <formula>EVEN(ROW())=ROW()</formula>
    </cfRule>
  </conditionalFormatting>
  <conditionalFormatting sqref="F20">
    <cfRule type="expression" dxfId="43" priority="10">
      <formula>SEARCH("Oppgaver: ",F20:F31)</formula>
    </cfRule>
    <cfRule type="expression" dxfId="42" priority="11">
      <formula>SEARCH("Logg: ",F20:F31)</formula>
    </cfRule>
    <cfRule type="expression" dxfId="41" priority="12">
      <formula>SEARCH("Logg/Oppgaver: ",F20:F31)</formula>
    </cfRule>
    <cfRule type="expression" dxfId="40" priority="13">
      <formula>SEARCH("Administrativt: ",F20:F31)</formula>
    </cfRule>
    <cfRule type="expression" dxfId="39" priority="14">
      <formula>SEARCH("Utvikling: ",F20:F31)</formula>
    </cfRule>
    <cfRule type="expression" dxfId="38" priority="15">
      <formula>SEARCH("Teori: ",F20:F31)</formula>
    </cfRule>
    <cfRule type="expression" dxfId="37" priority="16">
      <formula>EVEN(ROW())=ROW()</formula>
    </cfRule>
  </conditionalFormatting>
  <conditionalFormatting sqref="F18">
    <cfRule type="expression" dxfId="36" priority="17">
      <formula>SEARCH("Oppgaver: ",F18:F29)</formula>
    </cfRule>
    <cfRule type="expression" dxfId="35" priority="18">
      <formula>SEARCH("Logg: ",F18:F29)</formula>
    </cfRule>
    <cfRule type="expression" dxfId="34" priority="19">
      <formula>SEARCH("Logg/Oppgaver: ",F18:F29)</formula>
    </cfRule>
    <cfRule type="expression" dxfId="33" priority="20">
      <formula>SEARCH("Administrativt: ",F18:F29)</formula>
    </cfRule>
    <cfRule type="expression" dxfId="32" priority="21">
      <formula>SEARCH("Utvikling: ",F18:F29)</formula>
    </cfRule>
    <cfRule type="expression" dxfId="31" priority="22">
      <formula>SEARCH("Teori: ",F18:F29)</formula>
    </cfRule>
    <cfRule type="expression" dxfId="30" priority="23">
      <formula>EVEN(ROW())=ROW()</formula>
    </cfRule>
  </conditionalFormatting>
  <conditionalFormatting sqref="F16">
    <cfRule type="expression" dxfId="29" priority="24">
      <formula>SEARCH("Oppgaver: ",F16:F27)</formula>
    </cfRule>
    <cfRule type="expression" dxfId="28" priority="25">
      <formula>SEARCH("Logg: ",F16:F27)</formula>
    </cfRule>
    <cfRule type="expression" dxfId="27" priority="26">
      <formula>SEARCH("Logg/Oppgaver: ",F16:F27)</formula>
    </cfRule>
    <cfRule type="expression" dxfId="26" priority="27">
      <formula>SEARCH("Administrativt: ",F16:F27)</formula>
    </cfRule>
    <cfRule type="expression" dxfId="25" priority="28">
      <formula>SEARCH("Utvikling: ",F16:F27)</formula>
    </cfRule>
    <cfRule type="expression" dxfId="24" priority="29">
      <formula>SEARCH("Teori: ",F16:F27)</formula>
    </cfRule>
    <cfRule type="expression" dxfId="23" priority="30">
      <formula>EVEN(ROW())=ROW()</formula>
    </cfRule>
  </conditionalFormatting>
  <conditionalFormatting sqref="F14">
    <cfRule type="expression" dxfId="22" priority="31">
      <formula>SEARCH("Oppgaver: ",F14:F25)</formula>
    </cfRule>
    <cfRule type="expression" dxfId="21" priority="32">
      <formula>SEARCH("Logg: ",F14:F25)</formula>
    </cfRule>
    <cfRule type="expression" dxfId="20" priority="33">
      <formula>SEARCH("Logg/Oppgaver: ",F14:F25)</formula>
    </cfRule>
    <cfRule type="expression" dxfId="19" priority="34">
      <formula>SEARCH("Administrativt: ",F14:F25)</formula>
    </cfRule>
    <cfRule type="expression" dxfId="18" priority="35">
      <formula>SEARCH("Utvikling: ",F14:F25)</formula>
    </cfRule>
    <cfRule type="expression" dxfId="17" priority="36">
      <formula>SEARCH("Teori: ",F14:F25)</formula>
    </cfRule>
    <cfRule type="expression" dxfId="16" priority="37">
      <formula>EVEN(ROW())=ROW()</formula>
    </cfRule>
  </conditionalFormatting>
  <conditionalFormatting sqref="F12">
    <cfRule type="expression" dxfId="15" priority="38">
      <formula>SEARCH("Oppgaver: ",F12:F23)</formula>
    </cfRule>
    <cfRule type="expression" dxfId="14" priority="39">
      <formula>SEARCH("Logg: ",F12:F23)</formula>
    </cfRule>
    <cfRule type="expression" dxfId="13" priority="40">
      <formula>SEARCH("Logg/Oppgaver: ",F12:F23)</formula>
    </cfRule>
    <cfRule type="expression" dxfId="12" priority="41">
      <formula>SEARCH("Administrativt: ",F12:F23)</formula>
    </cfRule>
    <cfRule type="expression" dxfId="11" priority="42">
      <formula>SEARCH("Utvikling: ",F12:F23)</formula>
    </cfRule>
    <cfRule type="expression" dxfId="10" priority="43">
      <formula>SEARCH("Teori: ",F12:F23)</formula>
    </cfRule>
    <cfRule type="expression" dxfId="9" priority="44">
      <formula>EVEN(ROW())=ROW()</formula>
    </cfRule>
  </conditionalFormatting>
  <conditionalFormatting sqref="F10">
    <cfRule type="expression" dxfId="8" priority="45">
      <formula>SEARCH("Oppgaver: ",F10:F21)</formula>
    </cfRule>
    <cfRule type="expression" dxfId="7" priority="46">
      <formula>SEARCH("Logg: ",F10:F21)</formula>
    </cfRule>
    <cfRule type="expression" dxfId="6" priority="47">
      <formula>SEARCH("Logg/Oppgaver: ",F10:F21)</formula>
    </cfRule>
    <cfRule type="expression" dxfId="5" priority="48">
      <formula>SEARCH("Administrativt: ",F10:F21)</formula>
    </cfRule>
    <cfRule type="expression" dxfId="4" priority="49">
      <formula>SEARCH("Utvikling: ",F10:F21)</formula>
    </cfRule>
    <cfRule type="expression" dxfId="3" priority="50">
      <formula>SEARCH("Teori: ",F10:F21)</formula>
    </cfRule>
    <cfRule type="expression" dxfId="2" priority="51">
      <formula>EVEN(ROW())=ROW()</formula>
    </cfRule>
  </conditionalFormatting>
  <conditionalFormatting sqref="D10:D21">
    <cfRule type="cellIs" dxfId="1" priority="52" operator="equal">
      <formula>0</formula>
    </cfRule>
  </conditionalFormatting>
  <conditionalFormatting sqref="D10:D21">
    <cfRule type="expression" dxfId="0" priority="53">
      <formula>EVEN(ROW())=ROW()</formula>
    </cfRule>
  </conditionalFormatting>
  <dataValidations count="1">
    <dataValidation allowBlank="1" showInputMessage="1" sqref="E10:F10 E11:E13 F12 E14:F14 E15:E17 F16 E18:F18 E19:E21 F20" xr:uid="{00000000-0002-0000-0400-000000000000}">
      <formula1>0</formula1>
      <formula2>0</formula2>
    </dataValidation>
  </dataValidations>
  <pageMargins left="0.25" right="0.25" top="0.75" bottom="0.75" header="0.51180555555555496" footer="0.51180555555555496"/>
  <pageSetup paperSize="9" firstPageNumber="0" fitToHeight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Mats-Erik Dalhaug Eriksen</cp:lastModifiedBy>
  <cp:revision>23</cp:revision>
  <dcterms:created xsi:type="dcterms:W3CDTF">2015-06-05T18:19:34Z</dcterms:created>
  <dcterms:modified xsi:type="dcterms:W3CDTF">2021-02-16T10:31:02Z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0x01010035C29FB23202384A9C7D6EC56A47F2AA</vt:lpwstr>
  </property>
</Properties>
</file>