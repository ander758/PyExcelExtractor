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versitetetitromso-my.sharepoint.com/personal/aes014_uit_no/Documents/UiT Narvik/6. Semester/Hovedoppgave/Timeplaner/Anders/"/>
    </mc:Choice>
  </mc:AlternateContent>
  <xr:revisionPtr revIDLastSave="1077" documentId="8_{BB09C6C6-193D-410A-8F61-633D817CB8F8}" xr6:coauthVersionLast="45" xr6:coauthVersionMax="46" xr10:uidLastSave="{F6463370-16B5-44BE-85E6-C0BDEB3516F8}"/>
  <bookViews>
    <workbookView xWindow="-120" yWindow="330" windowWidth="20730" windowHeight="11310" firstSheet="1" activeTab="5" xr2:uid="{00000000-000D-0000-FFFF-FFFF00000000}"/>
  </bookViews>
  <sheets>
    <sheet name="template" sheetId="90" r:id="rId1"/>
    <sheet name="Uke4" sheetId="110" r:id="rId2"/>
    <sheet name="Uke5" sheetId="112" r:id="rId3"/>
    <sheet name="Uke6" sheetId="114" r:id="rId4"/>
    <sheet name="Uke7" sheetId="115" r:id="rId5"/>
    <sheet name="Uke8" sheetId="116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5" i="116" l="1"/>
  <c r="A25" i="116"/>
  <c r="A24" i="116" l="1"/>
  <c r="D24" i="116"/>
  <c r="D23" i="116"/>
  <c r="A23" i="116" l="1"/>
  <c r="D22" i="116"/>
  <c r="A22" i="116"/>
  <c r="D21" i="116"/>
  <c r="A21" i="116" l="1"/>
  <c r="D20" i="116" l="1"/>
  <c r="D19" i="116"/>
  <c r="A20" i="116"/>
  <c r="A19" i="116" l="1"/>
  <c r="A18" i="116"/>
  <c r="D18" i="116"/>
  <c r="A17" i="116" l="1"/>
  <c r="D16" i="116"/>
  <c r="D17" i="116"/>
  <c r="A16" i="116"/>
  <c r="D15" i="116"/>
  <c r="D14" i="116"/>
  <c r="A15" i="116"/>
  <c r="A14" i="116" l="1"/>
  <c r="D13" i="116" l="1"/>
  <c r="A13" i="116"/>
  <c r="D12" i="116"/>
  <c r="A12" i="116"/>
  <c r="D11" i="116"/>
  <c r="A11" i="116"/>
  <c r="A4" i="116"/>
  <c r="B4" i="116" s="1"/>
  <c r="A10" i="116"/>
  <c r="D10" i="116"/>
  <c r="D7" i="116"/>
  <c r="D6" i="116"/>
  <c r="D5" i="116"/>
  <c r="D4" i="116"/>
  <c r="A1" i="116" l="1"/>
  <c r="B5" i="116" s="1"/>
  <c r="A6" i="116"/>
  <c r="A17" i="115"/>
  <c r="D17" i="115"/>
  <c r="A5" i="116" l="1"/>
  <c r="D16" i="115"/>
  <c r="A16" i="115"/>
  <c r="A15" i="115"/>
  <c r="D15" i="115" l="1"/>
  <c r="D14" i="115"/>
  <c r="A14" i="115"/>
  <c r="D13" i="115" l="1"/>
  <c r="A13" i="115"/>
  <c r="A12" i="115" l="1"/>
  <c r="D12" i="115"/>
  <c r="D11" i="115"/>
  <c r="A11" i="115"/>
  <c r="A1" i="115" l="1"/>
  <c r="D10" i="115"/>
  <c r="A10" i="115"/>
  <c r="D21" i="114" l="1"/>
  <c r="A21" i="114"/>
  <c r="D20" i="114" l="1"/>
  <c r="A20" i="114"/>
  <c r="A4" i="115" l="1"/>
  <c r="B4" i="115" s="1"/>
  <c r="D7" i="115"/>
  <c r="D6" i="115"/>
  <c r="D5" i="115"/>
  <c r="D4" i="115"/>
  <c r="D19" i="114"/>
  <c r="A19" i="114"/>
  <c r="D18" i="114"/>
  <c r="A18" i="114"/>
  <c r="A17" i="114"/>
  <c r="D17" i="114"/>
  <c r="D16" i="114"/>
  <c r="A16" i="114"/>
  <c r="D15" i="114"/>
  <c r="A15" i="114"/>
  <c r="A6" i="115" l="1"/>
  <c r="B5" i="115"/>
  <c r="D14" i="114"/>
  <c r="A14" i="114"/>
  <c r="A5" i="115" l="1"/>
  <c r="D13" i="114"/>
  <c r="A13" i="114"/>
  <c r="A12" i="114"/>
  <c r="D12" i="114"/>
  <c r="D11" i="114"/>
  <c r="A11" i="114" l="1"/>
  <c r="A4" i="114" l="1"/>
  <c r="B4" i="114" s="1"/>
  <c r="A10" i="114"/>
  <c r="D10" i="114"/>
  <c r="D7" i="114"/>
  <c r="D6" i="114"/>
  <c r="D5" i="114"/>
  <c r="D4" i="114"/>
  <c r="A1" i="114" l="1"/>
  <c r="B5" i="114" s="1"/>
  <c r="A6" i="114"/>
  <c r="D5" i="112"/>
  <c r="D4" i="112"/>
  <c r="D7" i="112"/>
  <c r="D6" i="112"/>
  <c r="D23" i="112"/>
  <c r="A23" i="112"/>
  <c r="A5" i="114" l="1"/>
  <c r="D22" i="112"/>
  <c r="A22" i="112"/>
  <c r="A20" i="112"/>
  <c r="D20" i="112"/>
  <c r="A21" i="112"/>
  <c r="D21" i="112"/>
  <c r="D19" i="112" l="1"/>
  <c r="A19" i="112"/>
  <c r="A18" i="112" l="1"/>
  <c r="A17" i="112"/>
  <c r="A16" i="112"/>
  <c r="A15" i="112" l="1"/>
  <c r="A14" i="112"/>
  <c r="A13" i="112" l="1"/>
  <c r="A17" i="110" l="1"/>
  <c r="A16" i="110"/>
  <c r="A15" i="110"/>
  <c r="D20" i="110"/>
  <c r="D19" i="110"/>
  <c r="D18" i="110"/>
  <c r="D17" i="110"/>
  <c r="D16" i="110"/>
  <c r="D15" i="110"/>
  <c r="D14" i="110"/>
  <c r="A14" i="110"/>
  <c r="A12" i="112"/>
  <c r="A10" i="112" l="1"/>
  <c r="D18" i="112"/>
  <c r="D17" i="112"/>
  <c r="D16" i="112"/>
  <c r="D15" i="112"/>
  <c r="D14" i="112"/>
  <c r="D13" i="112"/>
  <c r="D12" i="112"/>
  <c r="D11" i="112"/>
  <c r="D10" i="112"/>
  <c r="A11" i="112"/>
  <c r="A1" i="112"/>
  <c r="B5" i="112" s="1"/>
  <c r="A4" i="112"/>
  <c r="B4" i="112" s="1"/>
  <c r="A13" i="110"/>
  <c r="A5" i="112" l="1"/>
  <c r="A6" i="112"/>
  <c r="A12" i="110"/>
  <c r="A11" i="110" l="1"/>
  <c r="A10" i="110"/>
  <c r="A4" i="110"/>
  <c r="D13" i="110"/>
  <c r="D12" i="110"/>
  <c r="D11" i="110"/>
  <c r="D7" i="110" s="1"/>
  <c r="D10" i="110"/>
  <c r="D6" i="110" s="1"/>
  <c r="D5" i="110"/>
  <c r="D4" i="110"/>
  <c r="B4" i="110" l="1"/>
  <c r="A1" i="110"/>
  <c r="A6" i="110"/>
  <c r="D6" i="90"/>
  <c r="A5" i="110" l="1"/>
  <c r="B5" i="110"/>
  <c r="D21" i="90"/>
  <c r="D20" i="90"/>
  <c r="D19" i="90"/>
  <c r="D18" i="90"/>
  <c r="D17" i="90"/>
  <c r="D16" i="90"/>
  <c r="D15" i="90"/>
  <c r="D14" i="90"/>
  <c r="D13" i="90"/>
  <c r="D12" i="90"/>
  <c r="D11" i="90"/>
  <c r="D10" i="90"/>
  <c r="D7" i="90"/>
  <c r="D5" i="90"/>
  <c r="B5" i="90"/>
  <c r="A5" i="90"/>
  <c r="D4" i="90"/>
  <c r="B4" i="90"/>
  <c r="A4" i="90"/>
  <c r="A6" i="90" l="1"/>
  <c r="B6" i="90"/>
  <c r="B6" i="110" s="1"/>
  <c r="E5" i="90"/>
  <c r="E7" i="90"/>
  <c r="E5" i="110"/>
  <c r="E5" i="112" s="1"/>
  <c r="E5" i="114" s="1"/>
  <c r="E4" i="90"/>
  <c r="E4" i="110" s="1"/>
  <c r="E7" i="110"/>
  <c r="E7" i="112"/>
  <c r="E6" i="90"/>
  <c r="E6" i="110" s="1"/>
  <c r="B6" i="112"/>
  <c r="B6" i="114"/>
  <c r="B6" i="115" s="1"/>
  <c r="B6" i="116" s="1"/>
  <c r="E5" i="115"/>
  <c r="E7" i="114"/>
  <c r="E4" i="112"/>
  <c r="E6" i="112"/>
  <c r="E6" i="114"/>
  <c r="E7" i="115"/>
  <c r="E7" i="116" s="1"/>
  <c r="E5" i="116"/>
  <c r="E4" i="114"/>
  <c r="E4" i="115"/>
  <c r="E6" i="115"/>
  <c r="E6" i="116" s="1"/>
  <c r="E4" i="116"/>
</calcChain>
</file>

<file path=xl/sharedStrings.xml><?xml version="1.0" encoding="utf-8"?>
<sst xmlns="http://schemas.openxmlformats.org/spreadsheetml/2006/main" count="213" uniqueCount="71">
  <si>
    <t>Timeliste - Alexander Johnsen - Uke N</t>
  </si>
  <si>
    <t>Fra dato</t>
  </si>
  <si>
    <t>Til dato</t>
  </si>
  <si>
    <t>Type arbeid</t>
  </si>
  <si>
    <t>Timer per type arbeid</t>
  </si>
  <si>
    <t>Timer totalt brukt</t>
  </si>
  <si>
    <t>Teori</t>
  </si>
  <si>
    <t>Utvikling</t>
  </si>
  <si>
    <t>Administrativt</t>
  </si>
  <si>
    <t>Logg/oppgaver</t>
  </si>
  <si>
    <t>Dato</t>
  </si>
  <si>
    <t>Starttidspunkt</t>
  </si>
  <si>
    <t>Sluttidspunkt</t>
  </si>
  <si>
    <t>Antall timer</t>
  </si>
  <si>
    <t>Type arbeid: forklaring</t>
  </si>
  <si>
    <t>Itemnr #</t>
  </si>
  <si>
    <t>Oppsummering</t>
  </si>
  <si>
    <t>Administrativt: Møte med veiledere</t>
  </si>
  <si>
    <t>N/A</t>
  </si>
  <si>
    <t>Oppgaver: Skrive møtereferat</t>
  </si>
  <si>
    <t>Oppgaver: Ferdigstilte og leverte oppgave 08.2</t>
  </si>
  <si>
    <t>Teori: Sjekket ut AWS og Azure muligheter</t>
  </si>
  <si>
    <t>Administrativt: Møte, forberedelse for møte med Fly Lavt AS</t>
  </si>
  <si>
    <t>Utvikling: Laget Python-script for å hente ut alle data fra timelisten min som Objekter</t>
  </si>
  <si>
    <t>Administrativt: Forberedelse møte</t>
  </si>
  <si>
    <t>Administrativt: Møte med Fly Lavt AS</t>
  </si>
  <si>
    <t>Administrativt: Møte hvor vi jobbet med dokumentasjon</t>
  </si>
  <si>
    <t>Administrativt: Uformelt møte med hovedveileder</t>
  </si>
  <si>
    <t>Oppgaver: Jobbet sammen med gruppa med forprosjektet</t>
  </si>
  <si>
    <t>Oppgaver: Jobbet videre med forprosjekt</t>
  </si>
  <si>
    <t>Oppgaver: Møte med gruppa og jobbing med forprosjekt</t>
  </si>
  <si>
    <t>Oppgaver: Møte, forberedelse for møte med Fly Lavt AS. Jobbet videre med forprosjektet</t>
  </si>
  <si>
    <t>2</t>
  </si>
  <si>
    <t>Oppgaver: Gjorde ferdig og leverte forprosjektet</t>
  </si>
  <si>
    <t>Oppgaver: Jobbet med dokumentasjon mot forprosjektet</t>
  </si>
  <si>
    <t>Oppgaver: Begynte med kravspesifikasjonen</t>
  </si>
  <si>
    <t>8</t>
  </si>
  <si>
    <t>Oppgaver: Jobbet med krasvpec</t>
  </si>
  <si>
    <t>Oppgaver: Leverte forprosjekt pånytt ettersom jeg en feil i referanselista, mal for møtereferat og innholdsfortegnelsen</t>
  </si>
  <si>
    <t>Oppgaver: Jobbet videre med kravspec og gjorde klart spørsmål vi skal stille Fly Lavt AS</t>
  </si>
  <si>
    <t>Oppgaver: Jobbet videre med kravspec sammen med gruppa</t>
  </si>
  <si>
    <t>Oppgaver: Jobbet med kravspec</t>
  </si>
  <si>
    <t>Oppgaver: Jobbet med kravspec og forberedte møte</t>
  </si>
  <si>
    <t>Oppgaver: Jobbet videre med kravspesifikasjonen og gjorde liten endring på forprosjektet</t>
  </si>
  <si>
    <t>Oppgaver: Jobber videre med kravspec</t>
  </si>
  <si>
    <t>Oppgaver: Fortsatte med å opprette C# klasser for kravspec</t>
  </si>
  <si>
    <t>Teori: Så på youtube leksjon om Razor rammeverket</t>
  </si>
  <si>
    <t>Administrativt: Forberedelse møte med Fly Lavt</t>
  </si>
  <si>
    <t>Oppgaver: Jobbet videre med kravspec</t>
  </si>
  <si>
    <t>Administrativt: Sendte de to UiT-avtalene til Fly Lavt AS og skrev litt på kravspesifikasjonen</t>
  </si>
  <si>
    <t>Oppgaver: Redigerte User Stories til tabell for bedre oversikt og satte inn litt mer i Kravspec</t>
  </si>
  <si>
    <t>Teori: Så gjennom forelesning for Blazor og Webassemply</t>
  </si>
  <si>
    <t>Utvikling: Testet et API for geolokasjon Lat/Long -&gt; adresse og adresse -&gt; Lat/Long</t>
  </si>
  <si>
    <t>Administrativt: Møte i gruppa</t>
  </si>
  <si>
    <t>Administrativt: Underskrift avtale stud-bedrift og snakket med bedrift per epost</t>
  </si>
  <si>
    <t>Administrativt: Satte inn Signert avtale i forprosjektet</t>
  </si>
  <si>
    <t>Administrativt: Tok utskrift av taushetsplikt</t>
  </si>
  <si>
    <t>Administrativt: Diverse administrativt arbeid</t>
  </si>
  <si>
    <t>12</t>
  </si>
  <si>
    <t>Utvikling: Jobbet med databasen med Alexander</t>
  </si>
  <si>
    <t>Utvikling: Jobbet videre med database</t>
  </si>
  <si>
    <t>Oppgaver: Fikset avtaler</t>
  </si>
  <si>
    <t>Oppgaver: Undersøkte hvordan man genererer og laster ned filer i Blazer på klient-side</t>
  </si>
  <si>
    <t>Utvikling: Startet med å implementere settings</t>
  </si>
  <si>
    <t>3</t>
  </si>
  <si>
    <t>Teori: Leste om .NET Nuget pakker</t>
  </si>
  <si>
    <t>Teori: Så på teori ang. kobling mot MySQL database i Blazor</t>
  </si>
  <si>
    <t>Utvikling: Implementerte oppkobling mot databasen</t>
  </si>
  <si>
    <t>Utvikling: Jobbet videre med gårdagens arbeid</t>
  </si>
  <si>
    <t>Utvikling: Implementerte funksjon for pop-up vindu i Blazor</t>
  </si>
  <si>
    <t>Utvikling: Fikk implementert fungerende GET, POST, PUT og DELETE med egne vinduer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</si>
</sst>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800]dddd\,\ mmmm\ dd\,\ yyyy"/>
    <numFmt numFmtId="165" formatCode="yyyy\-mm\-dd;@"/>
    <numFmt numFmtId="166" formatCode="hh:mm;@"/>
    <numFmt numFmtId="167" formatCode="[hh]:mm"/>
    <numFmt numFmtId="168" formatCode="[$-414]yyyy\-mm\-dd\ ddd\/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ck">
        <color theme="1"/>
      </top>
      <bottom style="double">
        <color indexed="64"/>
      </bottom>
      <diagonal/>
    </border>
    <border>
      <left/>
      <right/>
      <top style="thick">
        <color theme="1"/>
      </top>
      <bottom style="double">
        <color theme="1"/>
      </bottom>
      <diagonal/>
    </border>
    <border>
      <left/>
      <right style="medium">
        <color theme="1"/>
      </right>
      <top style="thin">
        <color theme="8" tint="0.59999389629810485"/>
      </top>
      <bottom style="thin">
        <color theme="8" tint="0.59999389629810485"/>
      </bottom>
      <diagonal/>
    </border>
    <border>
      <left style="medium">
        <color theme="1"/>
      </left>
      <right/>
      <top style="thin">
        <color theme="8" tint="0.59999389629810485"/>
      </top>
      <bottom style="thin">
        <color theme="8" tint="0.59999389629810485"/>
      </bottom>
      <diagonal/>
    </border>
    <border>
      <left style="medium">
        <color theme="1"/>
      </left>
      <right/>
      <top style="medium">
        <color indexed="64"/>
      </top>
      <bottom style="thin">
        <color theme="8" tint="0.59999389629810485"/>
      </bottom>
      <diagonal/>
    </border>
    <border>
      <left style="thin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8" tint="0.59999389629810485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4" tint="0.39997558519241921"/>
      </top>
      <bottom style="thin">
        <color theme="8" tint="0.59999389629810485"/>
      </bottom>
      <diagonal/>
    </border>
    <border>
      <left style="thin">
        <color theme="1"/>
      </left>
      <right style="thin">
        <color theme="1"/>
      </right>
      <top/>
      <bottom style="thin">
        <color theme="8" tint="0.59999389629810485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dotted">
        <color indexed="64"/>
      </right>
      <top style="thick">
        <color theme="1"/>
      </top>
      <bottom style="double">
        <color indexed="64"/>
      </bottom>
      <diagonal/>
    </border>
    <border>
      <left style="dotted">
        <color indexed="64"/>
      </left>
      <right/>
      <top style="thick">
        <color theme="1"/>
      </top>
      <bottom style="double">
        <color indexed="64"/>
      </bottom>
      <diagonal/>
    </border>
    <border>
      <left/>
      <right style="medium">
        <color theme="1"/>
      </right>
      <top style="thick">
        <color theme="1"/>
      </top>
      <bottom style="double">
        <color theme="1"/>
      </bottom>
      <diagonal/>
    </border>
    <border>
      <left style="medium">
        <color theme="1"/>
      </left>
      <right/>
      <top style="thin">
        <color theme="8" tint="0.59999389629810485"/>
      </top>
      <bottom/>
      <diagonal/>
    </border>
    <border>
      <left style="thin">
        <color theme="1"/>
      </left>
      <right style="thin">
        <color theme="1"/>
      </right>
      <top style="thin">
        <color theme="8" tint="0.59999389629810485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8" tint="0.59999389629810485"/>
      </top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Border="1"/>
    <xf numFmtId="0" fontId="1" fillId="6" borderId="2" xfId="0" applyFont="1" applyFill="1" applyBorder="1" applyAlignment="1">
      <alignment horizontal="center"/>
    </xf>
    <xf numFmtId="0" fontId="0" fillId="8" borderId="4" xfId="0" applyFill="1" applyBorder="1"/>
    <xf numFmtId="166" fontId="0" fillId="0" borderId="0" xfId="0" applyNumberFormat="1" applyBorder="1" applyAlignment="1">
      <alignment horizontal="center"/>
    </xf>
    <xf numFmtId="0" fontId="0" fillId="8" borderId="13" xfId="0" applyFill="1" applyBorder="1"/>
    <xf numFmtId="0" fontId="1" fillId="6" borderId="12" xfId="0" applyFont="1" applyFill="1" applyBorder="1" applyAlignment="1">
      <alignment horizontal="center"/>
    </xf>
    <xf numFmtId="0" fontId="4" fillId="0" borderId="5" xfId="0" applyFont="1" applyBorder="1"/>
    <xf numFmtId="0" fontId="0" fillId="8" borderId="1" xfId="0" applyFill="1" applyBorder="1"/>
    <xf numFmtId="0" fontId="0" fillId="0" borderId="21" xfId="0" applyBorder="1" applyAlignment="1">
      <alignment horizontal="center"/>
    </xf>
    <xf numFmtId="0" fontId="3" fillId="4" borderId="22" xfId="0" applyFont="1" applyFill="1" applyBorder="1" applyAlignment="1"/>
    <xf numFmtId="0" fontId="0" fillId="4" borderId="23" xfId="0" applyFill="1" applyBorder="1"/>
    <xf numFmtId="0" fontId="1" fillId="6" borderId="27" xfId="0" applyFont="1" applyFill="1" applyBorder="1" applyAlignment="1">
      <alignment horizontal="center"/>
    </xf>
    <xf numFmtId="0" fontId="1" fillId="6" borderId="28" xfId="0" applyFont="1" applyFill="1" applyBorder="1" applyAlignment="1">
      <alignment horizontal="center"/>
    </xf>
    <xf numFmtId="0" fontId="0" fillId="9" borderId="29" xfId="0" applyFont="1" applyFill="1" applyBorder="1" applyAlignment="1"/>
    <xf numFmtId="0" fontId="0" fillId="0" borderId="30" xfId="0" applyFont="1" applyFill="1" applyBorder="1" applyAlignment="1"/>
    <xf numFmtId="0" fontId="0" fillId="9" borderId="31" xfId="0" applyFont="1" applyFill="1" applyBorder="1" applyAlignment="1"/>
    <xf numFmtId="0" fontId="0" fillId="9" borderId="31" xfId="0" applyFill="1" applyBorder="1" applyAlignment="1"/>
    <xf numFmtId="0" fontId="0" fillId="0" borderId="30" xfId="0" applyBorder="1" applyAlignment="1"/>
    <xf numFmtId="0" fontId="0" fillId="0" borderId="32" xfId="0" applyBorder="1" applyAlignment="1"/>
    <xf numFmtId="0" fontId="0" fillId="8" borderId="35" xfId="0" applyFill="1" applyBorder="1"/>
    <xf numFmtId="0" fontId="3" fillId="4" borderId="36" xfId="0" applyFont="1" applyFill="1" applyBorder="1" applyAlignment="1">
      <alignment horizontal="left"/>
    </xf>
    <xf numFmtId="0" fontId="3" fillId="4" borderId="37" xfId="0" applyFont="1" applyFill="1" applyBorder="1" applyAlignment="1">
      <alignment horizontal="center"/>
    </xf>
    <xf numFmtId="0" fontId="0" fillId="4" borderId="38" xfId="0" applyFill="1" applyBorder="1"/>
    <xf numFmtId="167" fontId="2" fillId="0" borderId="0" xfId="0" applyNumberFormat="1" applyFont="1" applyBorder="1" applyAlignment="1">
      <alignment horizontal="center"/>
    </xf>
    <xf numFmtId="167" fontId="2" fillId="0" borderId="20" xfId="0" applyNumberFormat="1" applyFont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167" fontId="0" fillId="0" borderId="17" xfId="0" applyNumberFormat="1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0" fontId="2" fillId="3" borderId="9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wrapText="1"/>
    </xf>
    <xf numFmtId="0" fontId="2" fillId="3" borderId="6" xfId="0" applyFont="1" applyFill="1" applyBorder="1" applyAlignment="1">
      <alignment horizontal="center" wrapText="1"/>
    </xf>
    <xf numFmtId="0" fontId="2" fillId="3" borderId="8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wrapText="1"/>
    </xf>
    <xf numFmtId="164" fontId="5" fillId="5" borderId="4" xfId="0" applyNumberFormat="1" applyFont="1" applyFill="1" applyBorder="1" applyAlignment="1">
      <alignment horizontal="center" wrapText="1"/>
    </xf>
    <xf numFmtId="164" fontId="5" fillId="5" borderId="10" xfId="0" applyNumberFormat="1" applyFont="1" applyFill="1" applyBorder="1" applyAlignment="1">
      <alignment horizontal="center" wrapText="1"/>
    </xf>
    <xf numFmtId="168" fontId="0" fillId="7" borderId="26" xfId="0" applyNumberFormat="1" applyFont="1" applyFill="1" applyBorder="1" applyAlignment="1">
      <alignment horizontal="left"/>
    </xf>
    <xf numFmtId="168" fontId="0" fillId="0" borderId="12" xfId="0" applyNumberFormat="1" applyFont="1" applyBorder="1" applyAlignment="1">
      <alignment horizontal="left"/>
    </xf>
    <xf numFmtId="168" fontId="0" fillId="7" borderId="25" xfId="0" applyNumberFormat="1" applyFont="1" applyFill="1" applyBorder="1" applyAlignment="1">
      <alignment horizontal="left"/>
    </xf>
    <xf numFmtId="168" fontId="0" fillId="9" borderId="25" xfId="0" applyNumberFormat="1" applyFill="1" applyBorder="1" applyAlignment="1">
      <alignment horizontal="left"/>
    </xf>
    <xf numFmtId="49" fontId="0" fillId="9" borderId="24" xfId="0" applyNumberFormat="1" applyFill="1" applyBorder="1" applyAlignment="1"/>
    <xf numFmtId="49" fontId="0" fillId="0" borderId="14" xfId="0" applyNumberFormat="1" applyBorder="1"/>
    <xf numFmtId="168" fontId="0" fillId="0" borderId="12" xfId="0" applyNumberFormat="1" applyBorder="1" applyAlignment="1">
      <alignment horizontal="left"/>
    </xf>
    <xf numFmtId="168" fontId="0" fillId="0" borderId="25" xfId="0" applyNumberFormat="1" applyBorder="1" applyAlignment="1">
      <alignment horizontal="left"/>
    </xf>
    <xf numFmtId="168" fontId="0" fillId="0" borderId="15" xfId="0" applyNumberFormat="1" applyBorder="1" applyAlignment="1">
      <alignment horizontal="left"/>
    </xf>
    <xf numFmtId="167" fontId="0" fillId="7" borderId="29" xfId="0" applyNumberFormat="1" applyFont="1" applyFill="1" applyBorder="1" applyAlignment="1">
      <alignment horizontal="center"/>
    </xf>
    <xf numFmtId="167" fontId="0" fillId="0" borderId="30" xfId="0" applyNumberFormat="1" applyFont="1" applyBorder="1" applyAlignment="1">
      <alignment horizontal="center"/>
    </xf>
    <xf numFmtId="167" fontId="0" fillId="7" borderId="31" xfId="0" applyNumberFormat="1" applyFont="1" applyFill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67" fontId="0" fillId="9" borderId="31" xfId="0" applyNumberFormat="1" applyFill="1" applyBorder="1" applyAlignment="1">
      <alignment horizontal="center"/>
    </xf>
    <xf numFmtId="167" fontId="0" fillId="0" borderId="32" xfId="0" applyNumberFormat="1" applyBorder="1"/>
    <xf numFmtId="167" fontId="0" fillId="0" borderId="33" xfId="0" applyNumberFormat="1" applyFont="1" applyFill="1" applyBorder="1" applyAlignment="1">
      <alignment horizontal="center"/>
    </xf>
    <xf numFmtId="167" fontId="0" fillId="0" borderId="34" xfId="0" applyNumberFormat="1" applyFont="1" applyFill="1" applyBorder="1" applyAlignment="1">
      <alignment horizontal="center"/>
    </xf>
    <xf numFmtId="167" fontId="0" fillId="0" borderId="32" xfId="0" applyNumberFormat="1" applyFont="1" applyFill="1" applyBorder="1" applyAlignment="1">
      <alignment horizontal="center"/>
    </xf>
    <xf numFmtId="165" fontId="0" fillId="0" borderId="19" xfId="0" applyNumberForma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10" borderId="5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 vertical="center"/>
    </xf>
    <xf numFmtId="0" fontId="2" fillId="11" borderId="5" xfId="0" applyFont="1" applyFill="1" applyBorder="1" applyAlignment="1">
      <alignment horizontal="center"/>
    </xf>
    <xf numFmtId="0" fontId="2" fillId="12" borderId="5" xfId="0" applyFont="1" applyFill="1" applyBorder="1" applyAlignment="1">
      <alignment horizontal="center"/>
    </xf>
    <xf numFmtId="49" fontId="0" fillId="0" borderId="16" xfId="0" applyNumberFormat="1" applyBorder="1"/>
    <xf numFmtId="0" fontId="0" fillId="0" borderId="0" xfId="0" applyFill="1" applyBorder="1"/>
    <xf numFmtId="167" fontId="0" fillId="0" borderId="32" xfId="0" applyNumberFormat="1" applyBorder="1" applyAlignment="1">
      <alignment horizontal="center"/>
    </xf>
    <xf numFmtId="168" fontId="0" fillId="0" borderId="39" xfId="0" applyNumberFormat="1" applyBorder="1" applyAlignment="1">
      <alignment horizontal="left"/>
    </xf>
    <xf numFmtId="167" fontId="0" fillId="0" borderId="40" xfId="0" applyNumberFormat="1" applyBorder="1" applyAlignment="1">
      <alignment horizontal="center"/>
    </xf>
    <xf numFmtId="167" fontId="0" fillId="0" borderId="40" xfId="0" applyNumberFormat="1" applyFont="1" applyFill="1" applyBorder="1" applyAlignment="1">
      <alignment horizontal="center"/>
    </xf>
    <xf numFmtId="0" fontId="0" fillId="0" borderId="40" xfId="0" applyBorder="1" applyAlignment="1"/>
    <xf numFmtId="168" fontId="0" fillId="9" borderId="12" xfId="0" applyNumberFormat="1" applyFill="1" applyBorder="1" applyAlignment="1">
      <alignment horizontal="left"/>
    </xf>
    <xf numFmtId="167" fontId="0" fillId="9" borderId="30" xfId="0" applyNumberFormat="1" applyFill="1" applyBorder="1" applyAlignment="1">
      <alignment horizontal="center"/>
    </xf>
    <xf numFmtId="167" fontId="0" fillId="7" borderId="30" xfId="0" applyNumberFormat="1" applyFont="1" applyFill="1" applyBorder="1" applyAlignment="1">
      <alignment horizontal="center"/>
    </xf>
    <xf numFmtId="0" fontId="0" fillId="9" borderId="30" xfId="0" applyFill="1" applyBorder="1" applyAlignment="1"/>
    <xf numFmtId="49" fontId="0" fillId="9" borderId="14" xfId="0" applyNumberFormat="1" applyFill="1" applyBorder="1" applyAlignment="1"/>
    <xf numFmtId="0" fontId="4" fillId="0" borderId="41" xfId="0" applyFont="1" applyBorder="1"/>
    <xf numFmtId="168" fontId="0" fillId="9" borderId="42" xfId="0" applyNumberFormat="1" applyFill="1" applyBorder="1" applyAlignment="1">
      <alignment horizontal="left"/>
    </xf>
    <xf numFmtId="167" fontId="0" fillId="9" borderId="43" xfId="0" applyNumberFormat="1" applyFill="1" applyBorder="1" applyAlignment="1">
      <alignment horizontal="center"/>
    </xf>
    <xf numFmtId="167" fontId="0" fillId="7" borderId="43" xfId="0" applyNumberFormat="1" applyFont="1" applyFill="1" applyBorder="1" applyAlignment="1">
      <alignment horizontal="center"/>
    </xf>
    <xf numFmtId="0" fontId="0" fillId="9" borderId="43" xfId="0" applyFill="1" applyBorder="1" applyAlignment="1"/>
    <xf numFmtId="49" fontId="0" fillId="9" borderId="44" xfId="0" applyNumberFormat="1" applyFill="1" applyBorder="1" applyAlignment="1"/>
    <xf numFmtId="167" fontId="0" fillId="0" borderId="45" xfId="0" applyNumberFormat="1" applyBorder="1" applyAlignment="1">
      <alignment horizontal="center"/>
    </xf>
  </cellXfs>
  <cellStyles count="1">
    <cellStyle name="Normal" xfId="0" builtinId="0"/>
  </cellStyles>
  <dxfs count="232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numFmt numFmtId="169" formatCode="0;0;;@"/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22</xdr:row>
      <xdr:rowOff>1008</xdr:rowOff>
    </xdr:from>
    <xdr:ext cx="7547429" cy="940909"/>
    <xdr:sp macro="" textlink="">
      <xdr:nvSpPr>
        <xdr:cNvPr id="2" name="TekstSylinder 1">
          <a:extLst>
            <a:ext uri="{FF2B5EF4-FFF2-40B4-BE49-F238E27FC236}">
              <a16:creationId xmlns:a16="http://schemas.microsoft.com/office/drawing/2014/main" id="{9DE091A4-7E18-664B-BDBE-ABEE0A121687}"/>
            </a:ext>
          </a:extLst>
        </xdr:cNvPr>
        <xdr:cNvSpPr txBox="1"/>
      </xdr:nvSpPr>
      <xdr:spPr>
        <a:xfrm>
          <a:off x="0" y="4754437"/>
          <a:ext cx="7547429" cy="940909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nb-NO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22</xdr:row>
      <xdr:rowOff>1008</xdr:rowOff>
    </xdr:from>
    <xdr:ext cx="7547429" cy="3040189"/>
    <xdr:sp macro="" textlink="">
      <xdr:nvSpPr>
        <xdr:cNvPr id="2" name="TekstSylinder 1">
          <a:extLst>
            <a:ext uri="{FF2B5EF4-FFF2-40B4-BE49-F238E27FC236}">
              <a16:creationId xmlns:a16="http://schemas.microsoft.com/office/drawing/2014/main" id="{0A9536DC-284F-41F9-B348-F0F0469C1B0F}"/>
            </a:ext>
          </a:extLst>
        </xdr:cNvPr>
        <xdr:cNvSpPr txBox="1"/>
      </xdr:nvSpPr>
      <xdr:spPr>
        <a:xfrm>
          <a:off x="0" y="4919990"/>
          <a:ext cx="7547429" cy="3040189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Leder: Anders</a:t>
          </a:r>
          <a:b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Uke 4</a:t>
          </a:r>
        </a:p>
        <a:p>
          <a:endParaRPr lang="nb-NO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Mandag: Startet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mandagen med møte med hovedveileder og assissterende veileder hvor vi gikk gjennom punktene fra sakslista vår. Her var jeg leder for møtet og Alexander referent.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Tirsdag: Ferdigstilte og leverte oppgave "08.2 Oppstartsmøte veileder"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Lørdag: Møte hvor vi diskuterte og forberedte mot møtet med Fly Lavt AS på mandag. Opprettet Python-script for å automatisk hente ut data fra timelisten min. Denne kan enkelt utvides til å hente ut fra alle timelistene og derav lage grafer med interessant statistisk data mot sluttrapporten.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Søndag: Hadde møte hvor vi forberedte oss til møtet mandag med Fly Lavt AS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Annet: Ikke fått jobbet så mye denne uken grunnet forberedelse for eTest Fredag annet fag</a:t>
          </a:r>
          <a:endParaRPr lang="nb-NO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26</xdr:row>
      <xdr:rowOff>1008</xdr:rowOff>
    </xdr:from>
    <xdr:ext cx="7336971" cy="3623935"/>
    <xdr:sp macro="" textlink="">
      <xdr:nvSpPr>
        <xdr:cNvPr id="2" name="TekstSylinder 1">
          <a:extLst>
            <a:ext uri="{FF2B5EF4-FFF2-40B4-BE49-F238E27FC236}">
              <a16:creationId xmlns:a16="http://schemas.microsoft.com/office/drawing/2014/main" id="{88ECE59A-543C-42B4-99F0-1E660F324B00}"/>
            </a:ext>
          </a:extLst>
        </xdr:cNvPr>
        <xdr:cNvSpPr txBox="1"/>
      </xdr:nvSpPr>
      <xdr:spPr>
        <a:xfrm>
          <a:off x="0" y="5710565"/>
          <a:ext cx="7336971" cy="362393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Leder: Anders</a:t>
          </a:r>
          <a:b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Uke 5</a:t>
          </a:r>
          <a:endParaRPr lang="nb-NO">
            <a:effectLst/>
          </a:endParaRPr>
        </a:p>
        <a:p>
          <a:endParaRPr lang="nb-NO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nb-NO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Mandag: Her hadde vi møte med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Fly Lavt AS hvor vi diskuterte oppgaven og teknologi vi tenker å benytte. Vi opprettet et Telegram-chatrom for enklere kommunikasjon samt inviterte dem til gruppas Trello-prosjekt.</a:t>
          </a: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Videre jobbet vi med forprosjektet og relatert dokumentasjon.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Tirsdag: Her hadde vi uformelt møte med hovedveileder og assisterende veileder hvor vi diskuterte fremgang of stilte spørsmål om forprosjektet. VIdere jobbet vi med forprosjektet etter møtet.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Onsdag: Her jobbet vi sammen i gruppa med dokumentasjon og forprosjekt. Vi fikk levert forprosjektet.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Fredag: Fortsatte med kravspesifikasjonen og skrev litt videre på malen. Har ikke fått tid til å få gjort så mye på denne før nå grunnet innlevering i TEK1518 Entreprenørskap Fredag. Vi kjører møte på discord Lørdag 6. Feb.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Lørdag: Jobbet videre med kravspesifikasjon. Fikk satt opp Wireframe av nettstedet og gjort klart flere spørsmål vi skal stille bedriften for møte som vi tenker å ha om kort tid.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Søndag: Hadde møte med gruppa hvor vi jobbet med design av nettstedet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26</xdr:row>
      <xdr:rowOff>1008</xdr:rowOff>
    </xdr:from>
    <xdr:ext cx="7336971" cy="3242935"/>
    <xdr:sp macro="" textlink="">
      <xdr:nvSpPr>
        <xdr:cNvPr id="2" name="TekstSylinder 1">
          <a:extLst>
            <a:ext uri="{FF2B5EF4-FFF2-40B4-BE49-F238E27FC236}">
              <a16:creationId xmlns:a16="http://schemas.microsoft.com/office/drawing/2014/main" id="{EDAB79AD-5F72-40EC-903E-25601489B2C4}"/>
            </a:ext>
          </a:extLst>
        </xdr:cNvPr>
        <xdr:cNvSpPr txBox="1"/>
      </xdr:nvSpPr>
      <xdr:spPr>
        <a:xfrm>
          <a:off x="0" y="5696958"/>
          <a:ext cx="7336971" cy="324293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Leder: Anders</a:t>
          </a:r>
          <a:b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Uke 6</a:t>
          </a:r>
          <a:endParaRPr lang="nb-NO">
            <a:effectLst/>
          </a:endParaRPr>
        </a:p>
        <a:p>
          <a:endParaRPr lang="nb-NO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nb-NO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Mandag: Hadde møte med gruppa hvor vi jobbet videre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med kravspec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Tirsdag: Jobbet med kravspec og vi forberedte møte med veileder. Møtet med veiledere gikk fint. Vi ble enige om å gjøre en liten endring i forprosjektet og levere en versjon v1.2 samt å gjøre databasen litt mer kompleks for å ha mulighet til å legge inn selskap som kan ha avdelinger under seg.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Onsdag: Jobbet videre med kravspec. Satte opp noen C# klasser i Vistual Studio Code som jeg skal lage UML diagram av til Kravspec dokumentet.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Torsdag: Hadde møte med Fly Lavt AS. Det gikk veldig fint. Vi fikk vist fram det vi har og diskutert en god del.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Fredag: Hadde møte med gruppa hvor vi gjorde ferdig kotrakter og skrev litt på kravspesifikasjonen.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Lørdag: Jobbet med kravspec. Jobbet videre med designet av nettstedet.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26</xdr:row>
      <xdr:rowOff>1008</xdr:rowOff>
    </xdr:from>
    <xdr:ext cx="7336971" cy="3242935"/>
    <xdr:sp macro="" textlink="">
      <xdr:nvSpPr>
        <xdr:cNvPr id="2" name="TekstSylinder 1">
          <a:extLst>
            <a:ext uri="{FF2B5EF4-FFF2-40B4-BE49-F238E27FC236}">
              <a16:creationId xmlns:a16="http://schemas.microsoft.com/office/drawing/2014/main" id="{5169479A-B4AA-4F78-9982-C9992F4FFB4E}"/>
            </a:ext>
          </a:extLst>
        </xdr:cNvPr>
        <xdr:cNvSpPr txBox="1"/>
      </xdr:nvSpPr>
      <xdr:spPr>
        <a:xfrm>
          <a:off x="0" y="5696958"/>
          <a:ext cx="7336971" cy="324293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Leder: Alexander</a:t>
          </a:r>
          <a:b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Uke 7</a:t>
          </a:r>
          <a:endParaRPr lang="nb-NO">
            <a:effectLst/>
          </a:endParaRPr>
        </a:p>
        <a:p>
          <a:endParaRPr lang="nb-NO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nb-NO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Mandag: Jobbet videre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med kravspesifikasjonen i gruppa. Fikk justert noe i User Stories, fikset en feil i sidetall og la til sekvensdiagram og UML-diagrammer. Gjorde noen endringer på HTML prototypen.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Tirsdag: Jobbet videre med kravspesifikasjonen og fikk omgjort User Storeis til en tabell slik at det ble mer oversiktelig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Onsdag: Jobbet videre med kravspesifikasjonen og fikk levert denne inn.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Torsdag: Så på Blazor forelesninger og testet API for geolokasjon.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Fredag: Hadde møte med gruppa hvor vi diskuterte og sendte epost til bedriften angående signaturen. Videre snakket jeg med kontaktpersonen i bedriften og ordnet avtalen stud-bedrift.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</xdr:colOff>
      <xdr:row>29</xdr:row>
      <xdr:rowOff>1008</xdr:rowOff>
    </xdr:from>
    <xdr:ext cx="7336971" cy="4104267"/>
    <xdr:sp macro="" textlink="">
      <xdr:nvSpPr>
        <xdr:cNvPr id="2" name="TekstSylinder 1">
          <a:extLst>
            <a:ext uri="{FF2B5EF4-FFF2-40B4-BE49-F238E27FC236}">
              <a16:creationId xmlns:a16="http://schemas.microsoft.com/office/drawing/2014/main" id="{577EDE17-C072-4345-9A7A-485B43782B48}"/>
            </a:ext>
          </a:extLst>
        </xdr:cNvPr>
        <xdr:cNvSpPr txBox="1"/>
      </xdr:nvSpPr>
      <xdr:spPr>
        <a:xfrm>
          <a:off x="9525" y="6277983"/>
          <a:ext cx="7336971" cy="4104267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Leder: Alexander</a:t>
          </a:r>
          <a:b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Uke 8</a:t>
          </a:r>
          <a:endParaRPr lang="nb-NO">
            <a:effectLst/>
          </a:endParaRPr>
        </a:p>
        <a:p>
          <a:endParaRPr lang="nb-NO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nb-NO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Mandag: Satte inn avtale med signaturer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i forprosjektet. Gjorde diverse administrerende oppgaver. Ryddet opp i noe filstruktur i fellesmappa og opprettet dokument for sluttrapporten.</a:t>
          </a:r>
        </a:p>
        <a:p>
          <a:b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Tirsdag: Fikk lagt inn klassene jeg tidligere har laget inn i Blazer prosjektet sammen med Alexander. Fikk deretter lastet opp og oppdatert databasen mot kark databasen med MySQL. Dette gikk fint.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Onsdag: Undersøkte hvordan man genererer eksempelvis Excel dokumenter i C#. Startet med å implementere settings side for bl.a. oppdatering av brukerinfo. Så på noe videoer om oppdatering av data server-side via sql i Blazor.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Torsdag: Fikk ikke startet før rundt 18:00 grunnet jobbing med annet fag. Gikk gjennom teori om kobling mot MySQL databasen i Blazor.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Fredag: Jobbet med oppkolbling og spørringer mot databasen i .NET. Tok en del tid ettersom jeg ikke tidligere har jobbet med .NET</a:t>
          </a:r>
        </a:p>
        <a:p>
          <a:endParaRPr lang="nb-NO" sz="11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Lørdag: Implementerte funksjon for å kaste en Razor page og få det som et popup-vindu.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1D3DE-DDE8-D84B-9FC7-D0A68AD64507}">
  <sheetPr codeName="Sheet5">
    <pageSetUpPr fitToPage="1"/>
  </sheetPr>
  <dimension ref="A1:F27"/>
  <sheetViews>
    <sheetView zoomScale="140" zoomScaleNormal="140" workbookViewId="0"/>
  </sheetViews>
  <sheetFormatPr baseColWidth="10" defaultColWidth="11.42578125" defaultRowHeight="15" x14ac:dyDescent="0.25"/>
  <cols>
    <col min="1" max="1" width="17.85546875" customWidth="1"/>
    <col min="2" max="2" width="18.7109375" customWidth="1"/>
    <col min="3" max="3" width="12" customWidth="1"/>
    <col min="4" max="4" width="14.7109375" customWidth="1"/>
    <col min="5" max="5" width="25.7109375" customWidth="1"/>
    <col min="6" max="6" width="9.85546875" customWidth="1"/>
  </cols>
  <sheetData>
    <row r="1" spans="1:6" ht="24.75" thickTop="1" thickBot="1" x14ac:dyDescent="0.4">
      <c r="A1" s="21" t="s">
        <v>0</v>
      </c>
      <c r="B1" s="10"/>
      <c r="C1" s="22"/>
      <c r="D1" s="11"/>
      <c r="E1" s="11"/>
      <c r="F1" s="23"/>
    </row>
    <row r="2" spans="1:6" ht="16.5" thickTop="1" thickBot="1" x14ac:dyDescent="0.3"/>
    <row r="3" spans="1:6" ht="30.75" thickBot="1" x14ac:dyDescent="0.3">
      <c r="A3" s="31" t="s">
        <v>1</v>
      </c>
      <c r="B3" s="30" t="s">
        <v>2</v>
      </c>
      <c r="C3" s="33" t="s">
        <v>3</v>
      </c>
      <c r="D3" s="32" t="s">
        <v>4</v>
      </c>
      <c r="E3" s="29" t="s">
        <v>5</v>
      </c>
    </row>
    <row r="4" spans="1:6" ht="15.75" thickBot="1" x14ac:dyDescent="0.3">
      <c r="A4" s="35">
        <f>DATE(2020,1,20)</f>
        <v>43850</v>
      </c>
      <c r="B4" s="34">
        <f>DATE(2020,1,26)</f>
        <v>43856</v>
      </c>
      <c r="C4" s="56" t="s">
        <v>6</v>
      </c>
      <c r="D4" s="26">
        <f>SUMIF($E$10:$E$21,"Teori: *",$D$10:$D$21)</f>
        <v>0</v>
      </c>
      <c r="E4" s="28">
        <f ca="1">SUM(PrevSheet(E4)+D4)</f>
        <v>0</v>
      </c>
    </row>
    <row r="5" spans="1:6" ht="30.75" thickBot="1" x14ac:dyDescent="0.3">
      <c r="A5" s="54" t="str">
        <f>CONCATENATE("Total tid brukt i uke ", MID(A1,37,1))</f>
        <v>Total tid brukt i uke N</v>
      </c>
      <c r="B5" s="55" t="str">
        <f>CONCATENATE("Total tid prosjekt inntil uke ", MID(A1,37,1))</f>
        <v>Total tid prosjekt inntil uke N</v>
      </c>
      <c r="C5" s="57" t="s">
        <v>7</v>
      </c>
      <c r="D5" s="26">
        <f>SUMIF($E$10:$E$21,"Utvikling: *",$D$10:$D$21)</f>
        <v>0</v>
      </c>
      <c r="E5" s="28">
        <f ca="1">SUM(PrevSheet(E5)+D5)</f>
        <v>0</v>
      </c>
    </row>
    <row r="6" spans="1:6" ht="15.75" thickBot="1" x14ac:dyDescent="0.3">
      <c r="A6" s="25">
        <f>SUM($D$4:$D$7)</f>
        <v>0</v>
      </c>
      <c r="B6" s="24">
        <f ca="1">SUM(PrevSheet(B6)+A6)</f>
        <v>0</v>
      </c>
      <c r="C6" s="58" t="s">
        <v>8</v>
      </c>
      <c r="D6" s="26">
        <f>SUMIF($E$10:$E$21,"Administrativt: *",$D$10:$D$21)</f>
        <v>0</v>
      </c>
      <c r="E6" s="28">
        <f ca="1">SUM(PrevSheet(E6)+D6)</f>
        <v>0</v>
      </c>
    </row>
    <row r="7" spans="1:6" ht="15.75" thickBot="1" x14ac:dyDescent="0.3">
      <c r="A7" s="9"/>
      <c r="B7" s="4"/>
      <c r="C7" s="59" t="s">
        <v>9</v>
      </c>
      <c r="D7" s="27">
        <f>SUM(SUMIF($E$10:$E$21,"Logg: *",$D$10:$D$21),SUMIF($E$10:$E$21,"Oppgaver: *",$D$10:$D$21),SUMIF($E$10:$E$21,"Logg/Oppgaver: *",$D$10:$D$21),)</f>
        <v>0</v>
      </c>
      <c r="E7" s="28">
        <f ca="1">SUM(PrevSheet(E7)+D7)</f>
        <v>0</v>
      </c>
    </row>
    <row r="8" spans="1:6" ht="15.75" thickBot="1" x14ac:dyDescent="0.3">
      <c r="A8" s="5"/>
      <c r="B8" s="3"/>
      <c r="C8" s="8"/>
      <c r="D8" s="3"/>
      <c r="E8" s="3"/>
      <c r="F8" s="20"/>
    </row>
    <row r="9" spans="1:6" ht="15.75" thickBot="1" x14ac:dyDescent="0.3">
      <c r="A9" s="6" t="s">
        <v>10</v>
      </c>
      <c r="B9" s="2" t="s">
        <v>11</v>
      </c>
      <c r="C9" s="2" t="s">
        <v>12</v>
      </c>
      <c r="D9" s="2" t="s">
        <v>13</v>
      </c>
      <c r="E9" s="13" t="s">
        <v>14</v>
      </c>
      <c r="F9" s="12" t="s">
        <v>15</v>
      </c>
    </row>
    <row r="10" spans="1:6" x14ac:dyDescent="0.25">
      <c r="A10" s="36"/>
      <c r="B10" s="45"/>
      <c r="C10" s="45"/>
      <c r="D10" s="45">
        <f>(C10-B10)</f>
        <v>0</v>
      </c>
      <c r="E10" s="14"/>
      <c r="F10" s="40"/>
    </row>
    <row r="11" spans="1:6" x14ac:dyDescent="0.25">
      <c r="A11" s="37"/>
      <c r="B11" s="46"/>
      <c r="C11" s="46"/>
      <c r="D11" s="46">
        <f>(C11-B11)</f>
        <v>0</v>
      </c>
      <c r="E11" s="15"/>
      <c r="F11" s="41"/>
    </row>
    <row r="12" spans="1:6" x14ac:dyDescent="0.25">
      <c r="A12" s="38"/>
      <c r="B12" s="47"/>
      <c r="C12" s="47"/>
      <c r="D12" s="47">
        <f>(C12-B12)</f>
        <v>0</v>
      </c>
      <c r="E12" s="16"/>
      <c r="F12" s="40"/>
    </row>
    <row r="13" spans="1:6" x14ac:dyDescent="0.25">
      <c r="A13" s="42"/>
      <c r="B13" s="48"/>
      <c r="C13" s="48"/>
      <c r="D13" s="51">
        <f t="shared" ref="D13:D21" si="0">(C13-B13)</f>
        <v>0</v>
      </c>
      <c r="E13" s="15"/>
      <c r="F13" s="41"/>
    </row>
    <row r="14" spans="1:6" x14ac:dyDescent="0.25">
      <c r="A14" s="43"/>
      <c r="B14" s="49"/>
      <c r="C14" s="49"/>
      <c r="D14" s="47">
        <f t="shared" si="0"/>
        <v>0</v>
      </c>
      <c r="E14" s="17"/>
      <c r="F14" s="40"/>
    </row>
    <row r="15" spans="1:6" x14ac:dyDescent="0.25">
      <c r="A15" s="42"/>
      <c r="B15" s="48"/>
      <c r="C15" s="48"/>
      <c r="D15" s="52">
        <f t="shared" si="0"/>
        <v>0</v>
      </c>
      <c r="E15" s="18"/>
      <c r="F15" s="41"/>
    </row>
    <row r="16" spans="1:6" x14ac:dyDescent="0.25">
      <c r="A16" s="39"/>
      <c r="B16" s="49"/>
      <c r="C16" s="49"/>
      <c r="D16" s="47">
        <f t="shared" si="0"/>
        <v>0</v>
      </c>
      <c r="E16" s="17"/>
      <c r="F16" s="40"/>
    </row>
    <row r="17" spans="1:6" x14ac:dyDescent="0.25">
      <c r="A17" s="42"/>
      <c r="B17" s="48"/>
      <c r="C17" s="48"/>
      <c r="D17" s="52">
        <f t="shared" si="0"/>
        <v>0</v>
      </c>
      <c r="E17" s="18"/>
      <c r="F17" s="41"/>
    </row>
    <row r="18" spans="1:6" x14ac:dyDescent="0.25">
      <c r="A18" s="39"/>
      <c r="B18" s="49"/>
      <c r="C18" s="49"/>
      <c r="D18" s="47">
        <f t="shared" si="0"/>
        <v>0</v>
      </c>
      <c r="E18" s="17"/>
      <c r="F18" s="40"/>
    </row>
    <row r="19" spans="1:6" x14ac:dyDescent="0.25">
      <c r="A19" s="42"/>
      <c r="B19" s="48"/>
      <c r="C19" s="48"/>
      <c r="D19" s="52">
        <f t="shared" si="0"/>
        <v>0</v>
      </c>
      <c r="E19" s="18"/>
      <c r="F19" s="41"/>
    </row>
    <row r="20" spans="1:6" x14ac:dyDescent="0.25">
      <c r="A20" s="39"/>
      <c r="B20" s="49"/>
      <c r="C20" s="49"/>
      <c r="D20" s="47">
        <f t="shared" si="0"/>
        <v>0</v>
      </c>
      <c r="E20" s="17"/>
      <c r="F20" s="40"/>
    </row>
    <row r="21" spans="1:6" ht="15.75" thickBot="1" x14ac:dyDescent="0.3">
      <c r="A21" s="44"/>
      <c r="B21" s="50"/>
      <c r="C21" s="50"/>
      <c r="D21" s="53">
        <f t="shared" si="0"/>
        <v>0</v>
      </c>
      <c r="E21" s="19"/>
      <c r="F21" s="60"/>
    </row>
    <row r="22" spans="1:6" ht="21.75" thickBot="1" x14ac:dyDescent="0.4">
      <c r="A22" s="7" t="s">
        <v>16</v>
      </c>
      <c r="B22" s="1"/>
      <c r="C22" s="1"/>
      <c r="D22" s="1"/>
      <c r="E22" s="1"/>
    </row>
    <row r="23" spans="1:6" x14ac:dyDescent="0.25">
      <c r="A23" s="1"/>
      <c r="B23" s="1"/>
      <c r="C23" s="1"/>
      <c r="D23" s="1"/>
      <c r="E23" s="1"/>
    </row>
    <row r="24" spans="1:6" x14ac:dyDescent="0.25">
      <c r="A24" s="1"/>
      <c r="B24" s="1"/>
      <c r="C24" s="1"/>
      <c r="D24" s="1"/>
      <c r="E24" s="1"/>
    </row>
    <row r="25" spans="1:6" x14ac:dyDescent="0.25">
      <c r="A25" s="1"/>
      <c r="B25" s="1"/>
      <c r="C25" s="1"/>
      <c r="D25" s="1"/>
      <c r="E25" s="1"/>
    </row>
    <row r="26" spans="1:6" x14ac:dyDescent="0.25">
      <c r="A26" s="1"/>
      <c r="B26" s="1"/>
      <c r="C26" s="1"/>
      <c r="D26" s="1"/>
      <c r="E26" s="1"/>
    </row>
    <row r="27" spans="1:6" x14ac:dyDescent="0.25">
      <c r="A27" s="1"/>
      <c r="B27" s="1"/>
      <c r="C27" s="1"/>
      <c r="D27" s="1"/>
      <c r="E27" s="1"/>
    </row>
  </sheetData>
  <conditionalFormatting sqref="D10:D21">
    <cfRule type="cellIs" dxfId="231" priority="51" operator="equal">
      <formula>0</formula>
    </cfRule>
  </conditionalFormatting>
  <conditionalFormatting sqref="A10:D21">
    <cfRule type="expression" dxfId="230" priority="50">
      <formula>EVEN(ROW())=ROW()</formula>
    </cfRule>
  </conditionalFormatting>
  <conditionalFormatting sqref="E10:E21">
    <cfRule type="expression" dxfId="229" priority="43">
      <formula>SEARCH("Oppgaver: ",E10:E21)</formula>
    </cfRule>
    <cfRule type="expression" dxfId="228" priority="44">
      <formula>SEARCH("Logg: ",E10:E21)</formula>
    </cfRule>
    <cfRule type="expression" dxfId="227" priority="45">
      <formula>SEARCH("Logg/Oppgaver: ",E10:E21)</formula>
    </cfRule>
    <cfRule type="expression" dxfId="226" priority="46">
      <formula>SEARCH("Administrativt: ",E10:E21)</formula>
    </cfRule>
    <cfRule type="expression" dxfId="225" priority="47">
      <formula>SEARCH("Utvikling: ",E10:E21)</formula>
    </cfRule>
    <cfRule type="expression" dxfId="224" priority="48">
      <formula>SEARCH("Teori: ",E10:E21)</formula>
    </cfRule>
    <cfRule type="expression" dxfId="223" priority="49">
      <formula>EVEN(ROW())=ROW()</formula>
    </cfRule>
  </conditionalFormatting>
  <conditionalFormatting sqref="F20">
    <cfRule type="expression" dxfId="222" priority="36">
      <formula>SEARCH("Oppgaver: ",F20:F31)</formula>
    </cfRule>
    <cfRule type="expression" dxfId="221" priority="37">
      <formula>SEARCH("Logg: ",F20:F31)</formula>
    </cfRule>
    <cfRule type="expression" dxfId="220" priority="38">
      <formula>SEARCH("Logg/Oppgaver: ",F20:F31)</formula>
    </cfRule>
    <cfRule type="expression" dxfId="219" priority="39">
      <formula>SEARCH("Administrativt: ",F20:F31)</formula>
    </cfRule>
    <cfRule type="expression" dxfId="218" priority="40">
      <formula>SEARCH("Utvikling: ",F20:F31)</formula>
    </cfRule>
    <cfRule type="expression" dxfId="217" priority="41">
      <formula>SEARCH("Teori: ",F20:F31)</formula>
    </cfRule>
    <cfRule type="expression" dxfId="216" priority="42">
      <formula>EVEN(ROW())=ROW()</formula>
    </cfRule>
  </conditionalFormatting>
  <conditionalFormatting sqref="F18">
    <cfRule type="expression" dxfId="215" priority="29">
      <formula>SEARCH("Oppgaver: ",F18:F29)</formula>
    </cfRule>
    <cfRule type="expression" dxfId="214" priority="30">
      <formula>SEARCH("Logg: ",F18:F29)</formula>
    </cfRule>
    <cfRule type="expression" dxfId="213" priority="31">
      <formula>SEARCH("Logg/Oppgaver: ",F18:F29)</formula>
    </cfRule>
    <cfRule type="expression" dxfId="212" priority="32">
      <formula>SEARCH("Administrativt: ",F18:F29)</formula>
    </cfRule>
    <cfRule type="expression" dxfId="211" priority="33">
      <formula>SEARCH("Utvikling: ",F18:F29)</formula>
    </cfRule>
    <cfRule type="expression" dxfId="210" priority="34">
      <formula>SEARCH("Teori: ",F18:F29)</formula>
    </cfRule>
    <cfRule type="expression" dxfId="209" priority="35">
      <formula>EVEN(ROW())=ROW()</formula>
    </cfRule>
  </conditionalFormatting>
  <conditionalFormatting sqref="F16">
    <cfRule type="expression" dxfId="208" priority="22">
      <formula>SEARCH("Oppgaver: ",F16:F27)</formula>
    </cfRule>
    <cfRule type="expression" dxfId="207" priority="23">
      <formula>SEARCH("Logg: ",F16:F27)</formula>
    </cfRule>
    <cfRule type="expression" dxfId="206" priority="24">
      <formula>SEARCH("Logg/Oppgaver: ",F16:F27)</formula>
    </cfRule>
    <cfRule type="expression" dxfId="205" priority="25">
      <formula>SEARCH("Administrativt: ",F16:F27)</formula>
    </cfRule>
    <cfRule type="expression" dxfId="204" priority="26">
      <formula>SEARCH("Utvikling: ",F16:F27)</formula>
    </cfRule>
    <cfRule type="expression" dxfId="203" priority="27">
      <formula>SEARCH("Teori: ",F16:F27)</formula>
    </cfRule>
    <cfRule type="expression" dxfId="202" priority="28">
      <formula>EVEN(ROW())=ROW()</formula>
    </cfRule>
  </conditionalFormatting>
  <conditionalFormatting sqref="F14">
    <cfRule type="expression" dxfId="201" priority="15">
      <formula>SEARCH("Oppgaver: ",F14:F25)</formula>
    </cfRule>
    <cfRule type="expression" dxfId="200" priority="16">
      <formula>SEARCH("Logg: ",F14:F25)</formula>
    </cfRule>
    <cfRule type="expression" dxfId="199" priority="17">
      <formula>SEARCH("Logg/Oppgaver: ",F14:F25)</formula>
    </cfRule>
    <cfRule type="expression" dxfId="198" priority="18">
      <formula>SEARCH("Administrativt: ",F14:F25)</formula>
    </cfRule>
    <cfRule type="expression" dxfId="197" priority="19">
      <formula>SEARCH("Utvikling: ",F14:F25)</formula>
    </cfRule>
    <cfRule type="expression" dxfId="196" priority="20">
      <formula>SEARCH("Teori: ",F14:F25)</formula>
    </cfRule>
    <cfRule type="expression" dxfId="195" priority="21">
      <formula>EVEN(ROW())=ROW()</formula>
    </cfRule>
  </conditionalFormatting>
  <conditionalFormatting sqref="F12">
    <cfRule type="expression" dxfId="194" priority="8">
      <formula>SEARCH("Oppgaver: ",F12:F23)</formula>
    </cfRule>
    <cfRule type="expression" dxfId="193" priority="9">
      <formula>SEARCH("Logg: ",F12:F23)</formula>
    </cfRule>
    <cfRule type="expression" dxfId="192" priority="10">
      <formula>SEARCH("Logg/Oppgaver: ",F12:F23)</formula>
    </cfRule>
    <cfRule type="expression" dxfId="191" priority="11">
      <formula>SEARCH("Administrativt: ",F12:F23)</formula>
    </cfRule>
    <cfRule type="expression" dxfId="190" priority="12">
      <formula>SEARCH("Utvikling: ",F12:F23)</formula>
    </cfRule>
    <cfRule type="expression" dxfId="189" priority="13">
      <formula>SEARCH("Teori: ",F12:F23)</formula>
    </cfRule>
    <cfRule type="expression" dxfId="188" priority="14">
      <formula>EVEN(ROW())=ROW()</formula>
    </cfRule>
  </conditionalFormatting>
  <conditionalFormatting sqref="F10">
    <cfRule type="expression" dxfId="187" priority="1">
      <formula>SEARCH("Oppgaver: ",F10:F21)</formula>
    </cfRule>
    <cfRule type="expression" dxfId="186" priority="2">
      <formula>SEARCH("Logg: ",F10:F21)</formula>
    </cfRule>
    <cfRule type="expression" dxfId="185" priority="3">
      <formula>SEARCH("Logg/Oppgaver: ",F10:F21)</formula>
    </cfRule>
    <cfRule type="expression" dxfId="184" priority="4">
      <formula>SEARCH("Administrativt: ",F10:F21)</formula>
    </cfRule>
    <cfRule type="expression" dxfId="183" priority="5">
      <formula>SEARCH("Utvikling: ",F10:F21)</formula>
    </cfRule>
    <cfRule type="expression" dxfId="182" priority="6">
      <formula>SEARCH("Teori: ",F10:F21)</formula>
    </cfRule>
    <cfRule type="expression" dxfId="181" priority="7">
      <formula>EVEN(ROW())=ROW()</formula>
    </cfRule>
  </conditionalFormatting>
  <dataValidations count="1">
    <dataValidation errorStyle="information" allowBlank="1" showInputMessage="1" sqref="E10:E21 F20 F18 F16 F14 F12 F10" xr:uid="{85010D34-049E-344C-86AA-CF0B348C2D5B}"/>
  </dataValidations>
  <pageMargins left="0.25" right="0.25" top="0.75" bottom="0.75" header="0.3" footer="0.3"/>
  <pageSetup paperSize="9" scale="90" fitToHeight="0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1CFCA-4943-4D84-8796-074E67E7E322}">
  <sheetPr codeName="Sheet6">
    <pageSetUpPr fitToPage="1"/>
  </sheetPr>
  <dimension ref="A1:N27"/>
  <sheetViews>
    <sheetView topLeftCell="A9" zoomScale="140" zoomScaleNormal="140" workbookViewId="0">
      <selection activeCell="F14" sqref="F14"/>
    </sheetView>
  </sheetViews>
  <sheetFormatPr baseColWidth="10" defaultColWidth="11.42578125" defaultRowHeight="15" x14ac:dyDescent="0.25"/>
  <cols>
    <col min="1" max="1" width="21.42578125" customWidth="1"/>
    <col min="2" max="2" width="20.42578125" customWidth="1"/>
    <col min="3" max="3" width="13.85546875" customWidth="1"/>
    <col min="4" max="4" width="14.7109375" customWidth="1"/>
    <col min="5" max="5" width="29.5703125" customWidth="1"/>
    <col min="6" max="6" width="9.85546875" customWidth="1"/>
    <col min="8" max="8" width="11.85546875" customWidth="1"/>
  </cols>
  <sheetData>
    <row r="1" spans="1:14" ht="24.75" thickTop="1" thickBot="1" x14ac:dyDescent="0.4">
      <c r="A1" s="21" t="str">
        <f>_xlfn.CONCAT("Timeliste - Anders Rubach Ese - Uke ",WEEKNUM(A4,21))</f>
        <v>Timeliste - Anders Rubach Ese - Uke 4</v>
      </c>
      <c r="B1" s="10"/>
      <c r="C1" s="22"/>
      <c r="D1" s="11"/>
      <c r="E1" s="11"/>
      <c r="F1" s="23"/>
    </row>
    <row r="2" spans="1:14" ht="16.5" thickTop="1" thickBot="1" x14ac:dyDescent="0.3"/>
    <row r="3" spans="1:14" ht="30.75" thickBot="1" x14ac:dyDescent="0.3">
      <c r="A3" s="31" t="s">
        <v>1</v>
      </c>
      <c r="B3" s="30" t="s">
        <v>2</v>
      </c>
      <c r="C3" s="33" t="s">
        <v>3</v>
      </c>
      <c r="D3" s="32" t="s">
        <v>4</v>
      </c>
      <c r="E3" s="29" t="s">
        <v>5</v>
      </c>
    </row>
    <row r="4" spans="1:14" ht="15.75" thickBot="1" x14ac:dyDescent="0.3">
      <c r="A4" s="35">
        <f>DATE(2021,1,25)</f>
        <v>44221</v>
      </c>
      <c r="B4" s="34">
        <f>A4+6</f>
        <v>44227</v>
      </c>
      <c r="C4" s="56" t="s">
        <v>6</v>
      </c>
      <c r="D4" s="26">
        <f>SUMIF($E$10:$E$21,"Teori: *",$D$10:$D$21)</f>
        <v>1.041666666666663E-2</v>
      </c>
      <c r="E4" s="28">
        <f ca="1">SUM(PrevSheet(E4)+D4)</f>
        <v>1.041666666666663E-2</v>
      </c>
      <c r="H4" s="61"/>
      <c r="I4" s="61"/>
      <c r="J4" s="61"/>
      <c r="K4" s="61"/>
      <c r="L4" s="61"/>
      <c r="M4" s="61"/>
      <c r="N4" s="61"/>
    </row>
    <row r="5" spans="1:14" ht="30.75" thickBot="1" x14ac:dyDescent="0.3">
      <c r="A5" s="54" t="str">
        <f>CONCATENATE("Total tid brukt i uke ", MID(A1,37,1))</f>
        <v>Total tid brukt i uke 4</v>
      </c>
      <c r="B5" s="55" t="str">
        <f>CONCATENATE("Total tid prosjekt inntil uke ", MID(A1,37,1))</f>
        <v>Total tid prosjekt inntil uke 4</v>
      </c>
      <c r="C5" s="57" t="s">
        <v>7</v>
      </c>
      <c r="D5" s="26">
        <f>SUMIF($E$10:$E$21,"Utvikling: *",$D$10:$D$21)</f>
        <v>0.125</v>
      </c>
      <c r="E5" s="28">
        <f ca="1">SUM(PrevSheet(E5)+D5)</f>
        <v>0.125</v>
      </c>
      <c r="H5" s="61"/>
      <c r="I5" s="61"/>
      <c r="J5" s="61"/>
      <c r="K5" s="61"/>
      <c r="L5" s="61"/>
      <c r="M5" s="61"/>
      <c r="N5" s="61"/>
    </row>
    <row r="6" spans="1:14" ht="15.75" thickBot="1" x14ac:dyDescent="0.3">
      <c r="A6" s="25">
        <f>SUM($D$4:$D$7)</f>
        <v>0.48263888888888901</v>
      </c>
      <c r="B6" s="24">
        <f ca="1">SUM(PrevSheet(B6)+A6)</f>
        <v>0.48263888888888901</v>
      </c>
      <c r="C6" s="58" t="s">
        <v>8</v>
      </c>
      <c r="D6" s="26">
        <f>SUMIF($E$10:$E$21,"Administrativt: *",$D$10:$D$21)</f>
        <v>0.10138888888888892</v>
      </c>
      <c r="E6" s="28">
        <f ca="1">SUM(PrevSheet(E6)+D6)</f>
        <v>0.10138888888888892</v>
      </c>
      <c r="H6" s="61"/>
      <c r="I6" s="61"/>
      <c r="J6" s="61"/>
      <c r="K6" s="61"/>
      <c r="L6" s="61"/>
      <c r="M6" s="61"/>
      <c r="N6" s="61"/>
    </row>
    <row r="7" spans="1:14" ht="20.45" customHeight="1" thickBot="1" x14ac:dyDescent="0.3">
      <c r="A7" s="9"/>
      <c r="B7" s="4"/>
      <c r="C7" s="59" t="s">
        <v>9</v>
      </c>
      <c r="D7" s="27">
        <f>SUM(SUMIF($E$10:$E$21,"Logg: *",$D$10:$D$21),SUMIF($E$10:$E$21,"Oppgaver: *",$D$10:$D$21),SUMIF($E$10:$E$21,"Logg/Oppgaver: *",$D$10:$D$21),)</f>
        <v>0.24583333333333346</v>
      </c>
      <c r="E7" s="28">
        <f ca="1">SUM(PrevSheet(E7)+D7)</f>
        <v>0.24583333333333346</v>
      </c>
      <c r="H7" s="61"/>
      <c r="I7" s="61"/>
      <c r="J7" s="61"/>
      <c r="K7" s="61"/>
      <c r="L7" s="61"/>
      <c r="M7" s="61"/>
      <c r="N7" s="61"/>
    </row>
    <row r="8" spans="1:14" ht="15.75" thickBot="1" x14ac:dyDescent="0.3">
      <c r="A8" s="5"/>
      <c r="B8" s="3"/>
      <c r="C8" s="8"/>
      <c r="D8" s="3"/>
      <c r="E8" s="3"/>
      <c r="F8" s="20"/>
      <c r="H8" s="61"/>
      <c r="I8" s="61"/>
      <c r="J8" s="61"/>
      <c r="K8" s="61"/>
      <c r="L8" s="61"/>
      <c r="M8" s="61"/>
      <c r="N8" s="61"/>
    </row>
    <row r="9" spans="1:14" ht="15.75" thickBot="1" x14ac:dyDescent="0.3">
      <c r="A9" s="6" t="s">
        <v>10</v>
      </c>
      <c r="B9" s="2" t="s">
        <v>11</v>
      </c>
      <c r="C9" s="2" t="s">
        <v>12</v>
      </c>
      <c r="D9" s="2" t="s">
        <v>13</v>
      </c>
      <c r="E9" s="13" t="s">
        <v>14</v>
      </c>
      <c r="F9" s="12" t="s">
        <v>15</v>
      </c>
      <c r="M9" s="61"/>
      <c r="N9" s="61"/>
    </row>
    <row r="10" spans="1:14" x14ac:dyDescent="0.25">
      <c r="A10" s="36">
        <f>DATE(2021,1,25)</f>
        <v>44221</v>
      </c>
      <c r="B10" s="45">
        <v>0.41666666666666669</v>
      </c>
      <c r="C10" s="45">
        <v>0.43472222222222223</v>
      </c>
      <c r="D10" s="45">
        <f>(C10-B10)</f>
        <v>1.8055555555555547E-2</v>
      </c>
      <c r="E10" s="14" t="s">
        <v>17</v>
      </c>
      <c r="F10" s="40" t="s">
        <v>18</v>
      </c>
      <c r="H10" s="61"/>
      <c r="I10" s="61"/>
      <c r="J10" s="61"/>
      <c r="K10" s="61"/>
      <c r="L10" s="61"/>
      <c r="M10" s="61"/>
      <c r="N10" s="61"/>
    </row>
    <row r="11" spans="1:14" x14ac:dyDescent="0.25">
      <c r="A11" s="37">
        <f>DATE(2021,1,25)</f>
        <v>44221</v>
      </c>
      <c r="B11" s="46">
        <v>0.43472222222222223</v>
      </c>
      <c r="C11" s="46">
        <v>0.4548611111111111</v>
      </c>
      <c r="D11" s="46">
        <f>(C11-B11)</f>
        <v>2.0138888888888873E-2</v>
      </c>
      <c r="E11" s="15" t="s">
        <v>19</v>
      </c>
      <c r="F11" s="41" t="s">
        <v>18</v>
      </c>
      <c r="H11" s="61"/>
      <c r="I11" s="61"/>
      <c r="J11" s="61"/>
      <c r="K11" s="61"/>
      <c r="L11" s="61"/>
      <c r="M11" s="61"/>
      <c r="N11" s="61"/>
    </row>
    <row r="12" spans="1:14" x14ac:dyDescent="0.25">
      <c r="A12" s="38">
        <f>DATE(2021,1,26)</f>
        <v>44222</v>
      </c>
      <c r="B12" s="47">
        <v>0.76388888888888884</v>
      </c>
      <c r="C12" s="47">
        <v>0.78125</v>
      </c>
      <c r="D12" s="47">
        <f>(C12-B12)</f>
        <v>1.736111111111116E-2</v>
      </c>
      <c r="E12" s="16" t="s">
        <v>20</v>
      </c>
      <c r="F12" s="40" t="s">
        <v>18</v>
      </c>
      <c r="H12" s="61"/>
      <c r="I12" s="61"/>
      <c r="J12" s="61"/>
      <c r="K12" s="61"/>
      <c r="L12" s="61"/>
      <c r="M12" s="61"/>
      <c r="N12" s="61"/>
    </row>
    <row r="13" spans="1:14" x14ac:dyDescent="0.25">
      <c r="A13" s="42">
        <f>DATE(2021,1,26)</f>
        <v>44222</v>
      </c>
      <c r="B13" s="48">
        <v>0.78125</v>
      </c>
      <c r="C13" s="48">
        <v>0.79166666666666663</v>
      </c>
      <c r="D13" s="51">
        <f t="shared" ref="D13:D20" si="0">(C13-B13)</f>
        <v>1.041666666666663E-2</v>
      </c>
      <c r="E13" s="15" t="s">
        <v>21</v>
      </c>
      <c r="F13" s="41" t="s">
        <v>18</v>
      </c>
      <c r="H13" s="61"/>
      <c r="I13" s="61"/>
      <c r="J13" s="61"/>
      <c r="K13" s="61"/>
      <c r="L13" s="61"/>
      <c r="M13" s="61"/>
      <c r="N13" s="61"/>
    </row>
    <row r="14" spans="1:14" x14ac:dyDescent="0.25">
      <c r="A14" s="43">
        <f>DATE(2021,1,27)</f>
        <v>44223</v>
      </c>
      <c r="B14" s="49">
        <v>0.48958333333333331</v>
      </c>
      <c r="C14" s="49">
        <v>0.61458333333333337</v>
      </c>
      <c r="D14" s="51">
        <f t="shared" si="0"/>
        <v>0.12500000000000006</v>
      </c>
      <c r="E14" s="17" t="s">
        <v>34</v>
      </c>
      <c r="F14" s="40" t="s">
        <v>32</v>
      </c>
      <c r="H14" s="61"/>
      <c r="I14" s="61"/>
      <c r="J14" s="61"/>
      <c r="K14" s="61"/>
      <c r="L14" s="61"/>
      <c r="M14" s="61"/>
      <c r="N14" s="61"/>
    </row>
    <row r="15" spans="1:14" x14ac:dyDescent="0.25">
      <c r="A15" s="42">
        <f>DATE(2021,1,30)</f>
        <v>44226</v>
      </c>
      <c r="B15" s="48">
        <v>0.54166666666666663</v>
      </c>
      <c r="C15" s="48">
        <v>0.625</v>
      </c>
      <c r="D15" s="51">
        <f t="shared" si="0"/>
        <v>8.333333333333337E-2</v>
      </c>
      <c r="E15" s="18" t="s">
        <v>22</v>
      </c>
      <c r="F15" s="41" t="s">
        <v>18</v>
      </c>
      <c r="H15" s="61"/>
      <c r="I15" s="61"/>
      <c r="J15" s="61"/>
      <c r="K15" s="61"/>
      <c r="L15" s="61"/>
      <c r="M15" s="61"/>
      <c r="N15" s="61"/>
    </row>
    <row r="16" spans="1:14" x14ac:dyDescent="0.25">
      <c r="A16" s="39">
        <f>DATE(2021,1,30)</f>
        <v>44226</v>
      </c>
      <c r="B16" s="49">
        <v>0.8125</v>
      </c>
      <c r="C16" s="49">
        <v>0.9375</v>
      </c>
      <c r="D16" s="51">
        <f t="shared" si="0"/>
        <v>0.125</v>
      </c>
      <c r="E16" s="17" t="s">
        <v>23</v>
      </c>
      <c r="F16" s="40" t="s">
        <v>18</v>
      </c>
    </row>
    <row r="17" spans="1:6" x14ac:dyDescent="0.25">
      <c r="A17" s="42">
        <f>DATE(2021,1,31)</f>
        <v>44227</v>
      </c>
      <c r="B17" s="48">
        <v>0.8125</v>
      </c>
      <c r="C17" s="48">
        <v>0.89583333333333337</v>
      </c>
      <c r="D17" s="51">
        <f t="shared" si="0"/>
        <v>8.333333333333337E-2</v>
      </c>
      <c r="E17" s="18" t="s">
        <v>31</v>
      </c>
      <c r="F17" s="41" t="s">
        <v>32</v>
      </c>
    </row>
    <row r="18" spans="1:6" x14ac:dyDescent="0.25">
      <c r="A18" s="39"/>
      <c r="B18" s="49"/>
      <c r="C18" s="49"/>
      <c r="D18" s="51">
        <f t="shared" si="0"/>
        <v>0</v>
      </c>
      <c r="E18" s="17"/>
      <c r="F18" s="40"/>
    </row>
    <row r="19" spans="1:6" x14ac:dyDescent="0.25">
      <c r="A19" s="42"/>
      <c r="B19" s="48"/>
      <c r="C19" s="48"/>
      <c r="D19" s="51">
        <f t="shared" si="0"/>
        <v>0</v>
      </c>
      <c r="E19" s="18"/>
      <c r="F19" s="41"/>
    </row>
    <row r="20" spans="1:6" x14ac:dyDescent="0.25">
      <c r="A20" s="39"/>
      <c r="B20" s="49"/>
      <c r="C20" s="49"/>
      <c r="D20" s="51">
        <f t="shared" si="0"/>
        <v>0</v>
      </c>
      <c r="E20" s="17"/>
      <c r="F20" s="40"/>
    </row>
    <row r="21" spans="1:6" ht="15.75" thickBot="1" x14ac:dyDescent="0.3">
      <c r="A21" s="17"/>
      <c r="B21" s="17"/>
      <c r="C21" s="17"/>
      <c r="D21" s="17"/>
      <c r="E21" s="17"/>
      <c r="F21" s="17"/>
    </row>
    <row r="22" spans="1:6" ht="21.75" thickBot="1" x14ac:dyDescent="0.4">
      <c r="A22" s="7" t="s">
        <v>16</v>
      </c>
      <c r="B22" s="1"/>
      <c r="C22" s="1"/>
      <c r="D22" s="1"/>
      <c r="E22" s="1"/>
    </row>
    <row r="23" spans="1:6" x14ac:dyDescent="0.25">
      <c r="A23" s="1"/>
      <c r="B23" s="1"/>
      <c r="C23" s="1"/>
      <c r="D23" s="1"/>
      <c r="E23" s="1"/>
    </row>
    <row r="24" spans="1:6" x14ac:dyDescent="0.25">
      <c r="A24" s="1"/>
      <c r="B24" s="1"/>
      <c r="C24" s="1"/>
      <c r="D24" s="1"/>
      <c r="E24" s="1"/>
    </row>
    <row r="25" spans="1:6" x14ac:dyDescent="0.25">
      <c r="A25" s="1"/>
      <c r="B25" s="1"/>
      <c r="C25" s="1"/>
      <c r="D25" s="1"/>
      <c r="E25" s="1"/>
    </row>
    <row r="26" spans="1:6" x14ac:dyDescent="0.25">
      <c r="A26" s="1"/>
      <c r="B26" s="1"/>
      <c r="C26" s="1"/>
      <c r="D26" s="1"/>
      <c r="E26" s="1"/>
    </row>
    <row r="27" spans="1:6" x14ac:dyDescent="0.25">
      <c r="A27" s="1"/>
      <c r="B27" s="1"/>
      <c r="C27" s="1"/>
      <c r="D27" s="1"/>
      <c r="E27" s="1"/>
    </row>
  </sheetData>
  <conditionalFormatting sqref="D10:D20">
    <cfRule type="cellIs" dxfId="180" priority="68" operator="equal">
      <formula>0</formula>
    </cfRule>
  </conditionalFormatting>
  <conditionalFormatting sqref="A10:D20">
    <cfRule type="expression" dxfId="179" priority="67">
      <formula>EVEN(ROW())=ROW()</formula>
    </cfRule>
  </conditionalFormatting>
  <conditionalFormatting sqref="E10:E20">
    <cfRule type="expression" dxfId="178" priority="60">
      <formula>SEARCH("Oppgaver: ",E10:E21)</formula>
    </cfRule>
    <cfRule type="expression" dxfId="177" priority="61">
      <formula>SEARCH("Logg: ",E10:E21)</formula>
    </cfRule>
    <cfRule type="expression" dxfId="176" priority="62">
      <formula>SEARCH("Logg/Oppgaver: ",E10:E21)</formula>
    </cfRule>
    <cfRule type="expression" dxfId="175" priority="63">
      <formula>SEARCH("Administrativt: ",E10:E21)</formula>
    </cfRule>
    <cfRule type="expression" dxfId="174" priority="64">
      <formula>SEARCH("Utvikling: ",E10:E21)</formula>
    </cfRule>
    <cfRule type="expression" dxfId="173" priority="65">
      <formula>SEARCH("Teori: ",E10:E21)</formula>
    </cfRule>
    <cfRule type="expression" dxfId="172" priority="66">
      <formula>EVEN(ROW())=ROW()</formula>
    </cfRule>
  </conditionalFormatting>
  <conditionalFormatting sqref="F20">
    <cfRule type="expression" dxfId="171" priority="53">
      <formula>SEARCH("Oppgaver: ",F20:F31)</formula>
    </cfRule>
    <cfRule type="expression" dxfId="170" priority="54">
      <formula>SEARCH("Logg: ",F20:F31)</formula>
    </cfRule>
    <cfRule type="expression" dxfId="169" priority="55">
      <formula>SEARCH("Logg/Oppgaver: ",F20:F31)</formula>
    </cfRule>
    <cfRule type="expression" dxfId="168" priority="56">
      <formula>SEARCH("Administrativt: ",F20:F31)</formula>
    </cfRule>
    <cfRule type="expression" dxfId="167" priority="57">
      <formula>SEARCH("Utvikling: ",F20:F31)</formula>
    </cfRule>
    <cfRule type="expression" dxfId="166" priority="58">
      <formula>SEARCH("Teori: ",F20:F31)</formula>
    </cfRule>
    <cfRule type="expression" dxfId="165" priority="59">
      <formula>EVEN(ROW())=ROW()</formula>
    </cfRule>
  </conditionalFormatting>
  <conditionalFormatting sqref="F18">
    <cfRule type="expression" dxfId="164" priority="46">
      <formula>SEARCH("Oppgaver: ",F18:F29)</formula>
    </cfRule>
    <cfRule type="expression" dxfId="163" priority="47">
      <formula>SEARCH("Logg: ",F18:F29)</formula>
    </cfRule>
    <cfRule type="expression" dxfId="162" priority="48">
      <formula>SEARCH("Logg/Oppgaver: ",F18:F29)</formula>
    </cfRule>
    <cfRule type="expression" dxfId="161" priority="49">
      <formula>SEARCH("Administrativt: ",F18:F29)</formula>
    </cfRule>
    <cfRule type="expression" dxfId="160" priority="50">
      <formula>SEARCH("Utvikling: ",F18:F29)</formula>
    </cfRule>
    <cfRule type="expression" dxfId="159" priority="51">
      <formula>SEARCH("Teori: ",F18:F29)</formula>
    </cfRule>
    <cfRule type="expression" dxfId="158" priority="52">
      <formula>EVEN(ROW())=ROW()</formula>
    </cfRule>
  </conditionalFormatting>
  <conditionalFormatting sqref="F16">
    <cfRule type="expression" dxfId="157" priority="39">
      <formula>SEARCH("Oppgaver: ",F16:F27)</formula>
    </cfRule>
    <cfRule type="expression" dxfId="156" priority="40">
      <formula>SEARCH("Logg: ",F16:F27)</formula>
    </cfRule>
    <cfRule type="expression" dxfId="155" priority="41">
      <formula>SEARCH("Logg/Oppgaver: ",F16:F27)</formula>
    </cfRule>
    <cfRule type="expression" dxfId="154" priority="42">
      <formula>SEARCH("Administrativt: ",F16:F27)</formula>
    </cfRule>
    <cfRule type="expression" dxfId="153" priority="43">
      <formula>SEARCH("Utvikling: ",F16:F27)</formula>
    </cfRule>
    <cfRule type="expression" dxfId="152" priority="44">
      <formula>SEARCH("Teori: ",F16:F27)</formula>
    </cfRule>
    <cfRule type="expression" dxfId="151" priority="45">
      <formula>EVEN(ROW())=ROW()</formula>
    </cfRule>
  </conditionalFormatting>
  <conditionalFormatting sqref="F14">
    <cfRule type="expression" dxfId="150" priority="32">
      <formula>SEARCH("Oppgaver: ",F14:F25)</formula>
    </cfRule>
    <cfRule type="expression" dxfId="149" priority="33">
      <formula>SEARCH("Logg: ",F14:F25)</formula>
    </cfRule>
    <cfRule type="expression" dxfId="148" priority="34">
      <formula>SEARCH("Logg/Oppgaver: ",F14:F25)</formula>
    </cfRule>
    <cfRule type="expression" dxfId="147" priority="35">
      <formula>SEARCH("Administrativt: ",F14:F25)</formula>
    </cfRule>
    <cfRule type="expression" dxfId="146" priority="36">
      <formula>SEARCH("Utvikling: ",F14:F25)</formula>
    </cfRule>
    <cfRule type="expression" dxfId="145" priority="37">
      <formula>SEARCH("Teori: ",F14:F25)</formula>
    </cfRule>
    <cfRule type="expression" dxfId="144" priority="38">
      <formula>EVEN(ROW())=ROW()</formula>
    </cfRule>
  </conditionalFormatting>
  <conditionalFormatting sqref="F12">
    <cfRule type="expression" dxfId="143" priority="25">
      <formula>SEARCH("Oppgaver: ",F12:F23)</formula>
    </cfRule>
    <cfRule type="expression" dxfId="142" priority="26">
      <formula>SEARCH("Logg: ",F12:F23)</formula>
    </cfRule>
    <cfRule type="expression" dxfId="141" priority="27">
      <formula>SEARCH("Logg/Oppgaver: ",F12:F23)</formula>
    </cfRule>
    <cfRule type="expression" dxfId="140" priority="28">
      <formula>SEARCH("Administrativt: ",F12:F23)</formula>
    </cfRule>
    <cfRule type="expression" dxfId="139" priority="29">
      <formula>SEARCH("Utvikling: ",F12:F23)</formula>
    </cfRule>
    <cfRule type="expression" dxfId="138" priority="30">
      <formula>SEARCH("Teori: ",F12:F23)</formula>
    </cfRule>
    <cfRule type="expression" dxfId="137" priority="31">
      <formula>EVEN(ROW())=ROW()</formula>
    </cfRule>
  </conditionalFormatting>
  <conditionalFormatting sqref="F10">
    <cfRule type="expression" dxfId="136" priority="18">
      <formula>SEARCH("Oppgaver: ",F10:F21)</formula>
    </cfRule>
    <cfRule type="expression" dxfId="135" priority="19">
      <formula>SEARCH("Logg: ",F10:F21)</formula>
    </cfRule>
    <cfRule type="expression" dxfId="134" priority="20">
      <formula>SEARCH("Logg/Oppgaver: ",F10:F21)</formula>
    </cfRule>
    <cfRule type="expression" dxfId="133" priority="21">
      <formula>SEARCH("Administrativt: ",F10:F21)</formula>
    </cfRule>
    <cfRule type="expression" dxfId="132" priority="22">
      <formula>SEARCH("Utvikling: ",F10:F21)</formula>
    </cfRule>
    <cfRule type="expression" dxfId="131" priority="23">
      <formula>SEARCH("Teori: ",F10:F21)</formula>
    </cfRule>
    <cfRule type="expression" dxfId="130" priority="24">
      <formula>EVEN(ROW())=ROW()</formula>
    </cfRule>
  </conditionalFormatting>
  <conditionalFormatting sqref="K9">
    <cfRule type="cellIs" dxfId="129" priority="17" operator="equal">
      <formula>0</formula>
    </cfRule>
  </conditionalFormatting>
  <conditionalFormatting sqref="H9:K9">
    <cfRule type="expression" dxfId="128" priority="16">
      <formula>EVEN(ROW())=ROW()</formula>
    </cfRule>
  </conditionalFormatting>
  <conditionalFormatting sqref="L9">
    <cfRule type="expression" dxfId="127" priority="9">
      <formula>SEARCH("Oppgaver: ",L9:L20)</formula>
    </cfRule>
    <cfRule type="expression" dxfId="126" priority="10">
      <formula>SEARCH("Logg: ",L9:L20)</formula>
    </cfRule>
    <cfRule type="expression" dxfId="125" priority="11">
      <formula>SEARCH("Logg/Oppgaver: ",L9:L20)</formula>
    </cfRule>
    <cfRule type="expression" dxfId="124" priority="12">
      <formula>SEARCH("Administrativt: ",L9:L20)</formula>
    </cfRule>
    <cfRule type="expression" dxfId="123" priority="13">
      <formula>SEARCH("Utvikling: ",L9:L20)</formula>
    </cfRule>
    <cfRule type="expression" dxfId="122" priority="14">
      <formula>SEARCH("Teori: ",L9:L20)</formula>
    </cfRule>
    <cfRule type="expression" dxfId="121" priority="15">
      <formula>EVEN(ROW())=ROW()</formula>
    </cfRule>
  </conditionalFormatting>
  <conditionalFormatting sqref="A21:F21">
    <cfRule type="expression" dxfId="120" priority="1">
      <formula>SEARCH("Oppgaver: ",A21:A32)</formula>
    </cfRule>
    <cfRule type="expression" dxfId="119" priority="2">
      <formula>SEARCH("Logg: ",A21:A32)</formula>
    </cfRule>
    <cfRule type="expression" dxfId="118" priority="3">
      <formula>SEARCH("Logg/Oppgaver: ",A21:A32)</formula>
    </cfRule>
    <cfRule type="expression" dxfId="117" priority="4">
      <formula>SEARCH("Administrativt: ",A21:A32)</formula>
    </cfRule>
    <cfRule type="expression" dxfId="116" priority="5">
      <formula>SEARCH("Utvikling: ",A21:A32)</formula>
    </cfRule>
    <cfRule type="expression" dxfId="115" priority="6">
      <formula>SEARCH("Teori: ",A21:A32)</formula>
    </cfRule>
    <cfRule type="expression" dxfId="114" priority="7">
      <formula>EVEN(ROW())=ROW()</formula>
    </cfRule>
  </conditionalFormatting>
  <dataValidations count="1">
    <dataValidation errorStyle="information" allowBlank="1" showInputMessage="1" sqref="E10:E21 F20 F18 F16 F14 F12 F10 L9" xr:uid="{F0591939-C112-4B1E-B32A-F10D049B90DA}"/>
  </dataValidations>
  <pageMargins left="0.25" right="0.25" top="0.75" bottom="0.75" header="0.3" footer="0.3"/>
  <pageSetup paperSize="9" scale="90" fitToHeight="0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2A8E0-6275-49A1-ABDB-887A1023AC28}">
  <sheetPr codeName="Sheet7">
    <pageSetUpPr fitToPage="1"/>
  </sheetPr>
  <dimension ref="A1:H31"/>
  <sheetViews>
    <sheetView topLeftCell="B12" zoomScale="175" zoomScaleNormal="175" workbookViewId="0">
      <selection activeCell="F12" sqref="F12"/>
    </sheetView>
  </sheetViews>
  <sheetFormatPr baseColWidth="10" defaultColWidth="11.42578125" defaultRowHeight="15" x14ac:dyDescent="0.25"/>
  <cols>
    <col min="1" max="1" width="21.42578125" customWidth="1"/>
    <col min="2" max="2" width="20.42578125" customWidth="1"/>
    <col min="3" max="3" width="13.85546875" customWidth="1"/>
    <col min="4" max="4" width="14.7109375" customWidth="1"/>
    <col min="5" max="5" width="29.5703125" customWidth="1"/>
    <col min="6" max="6" width="9.85546875" customWidth="1"/>
  </cols>
  <sheetData>
    <row r="1" spans="1:6" ht="24.75" thickTop="1" thickBot="1" x14ac:dyDescent="0.4">
      <c r="A1" s="21" t="str">
        <f>_xlfn.CONCAT("Timeliste - Anders Rubach Ese - Uke ",WEEKNUM(A4,21))</f>
        <v>Timeliste - Anders Rubach Ese - Uke 5</v>
      </c>
      <c r="B1" s="10"/>
      <c r="C1" s="22"/>
      <c r="D1" s="11"/>
      <c r="E1" s="11"/>
      <c r="F1" s="23"/>
    </row>
    <row r="2" spans="1:6" ht="16.5" thickTop="1" thickBot="1" x14ac:dyDescent="0.3"/>
    <row r="3" spans="1:6" ht="30.75" thickBot="1" x14ac:dyDescent="0.3">
      <c r="A3" s="31" t="s">
        <v>1</v>
      </c>
      <c r="B3" s="30" t="s">
        <v>2</v>
      </c>
      <c r="C3" s="33" t="s">
        <v>3</v>
      </c>
      <c r="D3" s="32" t="s">
        <v>4</v>
      </c>
      <c r="E3" s="29" t="s">
        <v>5</v>
      </c>
    </row>
    <row r="4" spans="1:6" ht="15.75" thickBot="1" x14ac:dyDescent="0.3">
      <c r="A4" s="35">
        <f>DATE(2021,2,1)</f>
        <v>44228</v>
      </c>
      <c r="B4" s="34">
        <f>A4+6</f>
        <v>44234</v>
      </c>
      <c r="C4" s="56" t="s">
        <v>6</v>
      </c>
      <c r="D4" s="26">
        <f>SUMIF($E$10:$E$25,"Teori: *",$D$10:$D$25)</f>
        <v>0</v>
      </c>
      <c r="E4" s="28">
        <f ca="1">SUM(PrevSheet(E4)+D4)</f>
        <v>1.041666666666663E-2</v>
      </c>
    </row>
    <row r="5" spans="1:6" ht="30.75" thickBot="1" x14ac:dyDescent="0.3">
      <c r="A5" s="54" t="str">
        <f>CONCATENATE("Total tid brukt i uke ", MID(A1,37,1))</f>
        <v>Total tid brukt i uke 5</v>
      </c>
      <c r="B5" s="55" t="str">
        <f>CONCATENATE("Total tid prosjekt inntil uke ", MID(A1,37,1))</f>
        <v>Total tid prosjekt inntil uke 5</v>
      </c>
      <c r="C5" s="57" t="s">
        <v>7</v>
      </c>
      <c r="D5" s="26">
        <f>SUMIF($E$10:$E$25,"Utvikling: *",$D$10:$D$25)</f>
        <v>0</v>
      </c>
      <c r="E5" s="28">
        <f ca="1">SUM(PrevSheet(E5)+D5)</f>
        <v>0.125</v>
      </c>
    </row>
    <row r="6" spans="1:6" ht="15.75" thickBot="1" x14ac:dyDescent="0.3">
      <c r="A6" s="25">
        <f>SUM($D$4:$D$7)</f>
        <v>1.1388888888888888</v>
      </c>
      <c r="B6" s="24">
        <f ca="1">SUM(PrevSheet(B6)+A6)</f>
        <v>1.6215277777777779</v>
      </c>
      <c r="C6" s="58" t="s">
        <v>8</v>
      </c>
      <c r="D6" s="26">
        <f>SUMIF($E$10:$E$21,"Administrativt: *",$D$10:$D$25)</f>
        <v>0.18611111111111112</v>
      </c>
      <c r="E6" s="28">
        <f ca="1">SUM(PrevSheet(E6)+D6)</f>
        <v>0.28750000000000003</v>
      </c>
    </row>
    <row r="7" spans="1:6" ht="20.45" customHeight="1" thickBot="1" x14ac:dyDescent="0.3">
      <c r="A7" s="9"/>
      <c r="B7" s="4"/>
      <c r="C7" s="59" t="s">
        <v>9</v>
      </c>
      <c r="D7" s="27">
        <f>SUM(SUMIF($E$10:$E$25,"Logg: *",$D$10:$D$25),SUMIF($E$10:$E$25,"Oppgaver: *",$D$10:$D$25),SUMIF($E$10:$E$25,"Logg/Oppgaver: *",$D$10:$D$25),)</f>
        <v>0.95277777777777772</v>
      </c>
      <c r="E7" s="28">
        <f ca="1">SUM(PrevSheet(E7)+D7)</f>
        <v>1.1986111111111111</v>
      </c>
    </row>
    <row r="8" spans="1:6" ht="15.75" thickBot="1" x14ac:dyDescent="0.3">
      <c r="A8" s="5"/>
      <c r="B8" s="3"/>
      <c r="C8" s="8"/>
      <c r="D8" s="3"/>
      <c r="E8" s="3"/>
      <c r="F8" s="20"/>
    </row>
    <row r="9" spans="1:6" ht="15.75" thickBot="1" x14ac:dyDescent="0.3">
      <c r="A9" s="6" t="s">
        <v>10</v>
      </c>
      <c r="B9" s="2" t="s">
        <v>11</v>
      </c>
      <c r="C9" s="2" t="s">
        <v>12</v>
      </c>
      <c r="D9" s="2" t="s">
        <v>13</v>
      </c>
      <c r="E9" s="13" t="s">
        <v>14</v>
      </c>
      <c r="F9" s="12" t="s">
        <v>15</v>
      </c>
    </row>
    <row r="10" spans="1:6" x14ac:dyDescent="0.25">
      <c r="A10" s="36">
        <f>DATE(2021,2,1)</f>
        <v>44228</v>
      </c>
      <c r="B10" s="45">
        <v>0.39583333333333331</v>
      </c>
      <c r="C10" s="45">
        <v>0.41666666666666669</v>
      </c>
      <c r="D10" s="45">
        <f>(C10-B10)</f>
        <v>2.083333333333337E-2</v>
      </c>
      <c r="E10" s="14" t="s">
        <v>24</v>
      </c>
      <c r="F10" s="40" t="s">
        <v>18</v>
      </c>
    </row>
    <row r="11" spans="1:6" x14ac:dyDescent="0.25">
      <c r="A11" s="37">
        <f>DATE(2021,2,1)</f>
        <v>44228</v>
      </c>
      <c r="B11" s="46">
        <v>0.41666666666666669</v>
      </c>
      <c r="C11" s="46">
        <v>0.45</v>
      </c>
      <c r="D11" s="46">
        <f>(C11-B11)</f>
        <v>3.3333333333333326E-2</v>
      </c>
      <c r="E11" s="15" t="s">
        <v>25</v>
      </c>
      <c r="F11" s="41" t="s">
        <v>18</v>
      </c>
    </row>
    <row r="12" spans="1:6" x14ac:dyDescent="0.25">
      <c r="A12" s="38">
        <f>DATE(2021,2,1)</f>
        <v>44228</v>
      </c>
      <c r="B12" s="47">
        <v>0.45</v>
      </c>
      <c r="C12" s="47">
        <v>0.54166666666666663</v>
      </c>
      <c r="D12" s="47">
        <f>(C12-B12)</f>
        <v>9.1666666666666619E-2</v>
      </c>
      <c r="E12" s="16" t="s">
        <v>30</v>
      </c>
      <c r="F12" s="40" t="s">
        <v>32</v>
      </c>
    </row>
    <row r="13" spans="1:6" x14ac:dyDescent="0.25">
      <c r="A13" s="42">
        <f>DATE(2021,2,1)</f>
        <v>44228</v>
      </c>
      <c r="B13" s="48">
        <v>0.79166666666666663</v>
      </c>
      <c r="C13" s="48">
        <v>0.89583333333333337</v>
      </c>
      <c r="D13" s="51">
        <f t="shared" ref="D13:D23" si="0">(C13-B13)</f>
        <v>0.10416666666666674</v>
      </c>
      <c r="E13" s="15" t="s">
        <v>26</v>
      </c>
      <c r="F13" s="41" t="s">
        <v>32</v>
      </c>
    </row>
    <row r="14" spans="1:6" x14ac:dyDescent="0.25">
      <c r="A14" s="43">
        <f>DATE(2021,2,2)</f>
        <v>44229</v>
      </c>
      <c r="B14" s="49">
        <v>0.47916666666666669</v>
      </c>
      <c r="C14" s="49">
        <v>0.57638888888888895</v>
      </c>
      <c r="D14" s="47">
        <f t="shared" si="0"/>
        <v>9.7222222222222265E-2</v>
      </c>
      <c r="E14" s="17" t="s">
        <v>28</v>
      </c>
      <c r="F14" s="40" t="s">
        <v>32</v>
      </c>
    </row>
    <row r="15" spans="1:6" x14ac:dyDescent="0.25">
      <c r="A15" s="42">
        <f>DATE(2021,2,2)</f>
        <v>44229</v>
      </c>
      <c r="B15" s="48">
        <v>0.58333333333333337</v>
      </c>
      <c r="C15" s="48">
        <v>0.61111111111111105</v>
      </c>
      <c r="D15" s="51">
        <f t="shared" si="0"/>
        <v>2.7777777777777679E-2</v>
      </c>
      <c r="E15" s="18" t="s">
        <v>27</v>
      </c>
      <c r="F15" s="41" t="s">
        <v>18</v>
      </c>
    </row>
    <row r="16" spans="1:6" x14ac:dyDescent="0.25">
      <c r="A16" s="39">
        <f>DATE(2021,2,2)</f>
        <v>44229</v>
      </c>
      <c r="B16" s="49">
        <v>0.61111111111111105</v>
      </c>
      <c r="C16" s="49">
        <v>0.62847222222222221</v>
      </c>
      <c r="D16" s="47">
        <f t="shared" si="0"/>
        <v>1.736111111111116E-2</v>
      </c>
      <c r="E16" s="17" t="s">
        <v>29</v>
      </c>
      <c r="F16" s="40" t="s">
        <v>32</v>
      </c>
    </row>
    <row r="17" spans="1:8" x14ac:dyDescent="0.25">
      <c r="A17" s="42">
        <f>DATE(2021,2,3)</f>
        <v>44230</v>
      </c>
      <c r="B17" s="48">
        <v>0.375</v>
      </c>
      <c r="C17" s="48">
        <v>0.54166666666666663</v>
      </c>
      <c r="D17" s="52">
        <f t="shared" si="0"/>
        <v>0.16666666666666663</v>
      </c>
      <c r="E17" s="18" t="s">
        <v>29</v>
      </c>
      <c r="F17" s="41" t="s">
        <v>32</v>
      </c>
    </row>
    <row r="18" spans="1:8" x14ac:dyDescent="0.25">
      <c r="A18" s="39">
        <f>DATE(2021,2,3)</f>
        <v>44230</v>
      </c>
      <c r="B18" s="49">
        <v>0.57638888888888895</v>
      </c>
      <c r="C18" s="49">
        <v>0.81944444444444453</v>
      </c>
      <c r="D18" s="47">
        <f t="shared" si="0"/>
        <v>0.24305555555555558</v>
      </c>
      <c r="E18" s="17" t="s">
        <v>33</v>
      </c>
      <c r="F18" s="40" t="s">
        <v>32</v>
      </c>
    </row>
    <row r="19" spans="1:8" x14ac:dyDescent="0.25">
      <c r="A19" s="42">
        <f>DATE(2021,2,3)</f>
        <v>44230</v>
      </c>
      <c r="B19" s="48">
        <v>0.85416666666666663</v>
      </c>
      <c r="C19" s="48">
        <v>0.86805555555555547</v>
      </c>
      <c r="D19" s="52">
        <f t="shared" si="0"/>
        <v>1.388888888888884E-2</v>
      </c>
      <c r="E19" s="18" t="s">
        <v>38</v>
      </c>
      <c r="F19" s="41" t="s">
        <v>32</v>
      </c>
    </row>
    <row r="20" spans="1:8" x14ac:dyDescent="0.25">
      <c r="A20" s="39">
        <f>DATE(2021,2,5)</f>
        <v>44232</v>
      </c>
      <c r="B20" s="49">
        <v>0.59375</v>
      </c>
      <c r="C20" s="49">
        <v>0.60416666666666663</v>
      </c>
      <c r="D20" s="47">
        <f t="shared" si="0"/>
        <v>1.041666666666663E-2</v>
      </c>
      <c r="E20" s="17" t="s">
        <v>35</v>
      </c>
      <c r="F20" s="40" t="s">
        <v>36</v>
      </c>
    </row>
    <row r="21" spans="1:8" x14ac:dyDescent="0.25">
      <c r="A21" s="42">
        <f>DATE(2021,2,6)</f>
        <v>44233</v>
      </c>
      <c r="B21" s="48">
        <v>0.45833333333333331</v>
      </c>
      <c r="C21" s="48">
        <v>0.52083333333333337</v>
      </c>
      <c r="D21" s="52">
        <f t="shared" si="0"/>
        <v>6.2500000000000056E-2</v>
      </c>
      <c r="E21" s="18" t="s">
        <v>37</v>
      </c>
      <c r="F21" s="41" t="s">
        <v>36</v>
      </c>
    </row>
    <row r="22" spans="1:8" x14ac:dyDescent="0.25">
      <c r="A22" s="39">
        <f>DATE(2021,2,6)</f>
        <v>44233</v>
      </c>
      <c r="B22" s="49">
        <v>0.52083333333333337</v>
      </c>
      <c r="C22" s="49">
        <v>0.55208333333333337</v>
      </c>
      <c r="D22" s="52">
        <f t="shared" si="0"/>
        <v>3.125E-2</v>
      </c>
      <c r="E22" s="17" t="s">
        <v>39</v>
      </c>
      <c r="F22" s="40" t="s">
        <v>36</v>
      </c>
    </row>
    <row r="23" spans="1:8" x14ac:dyDescent="0.25">
      <c r="A23" s="42">
        <f>DATE(2021,2,7)</f>
        <v>44234</v>
      </c>
      <c r="B23" s="48">
        <v>0.45833333333333331</v>
      </c>
      <c r="C23" s="48">
        <v>0.67708333333333337</v>
      </c>
      <c r="D23" s="52">
        <f t="shared" si="0"/>
        <v>0.21875000000000006</v>
      </c>
      <c r="E23" s="18" t="s">
        <v>40</v>
      </c>
      <c r="F23" s="41" t="s">
        <v>36</v>
      </c>
    </row>
    <row r="24" spans="1:8" x14ac:dyDescent="0.25">
      <c r="A24" s="39"/>
      <c r="B24" s="49"/>
      <c r="C24" s="49"/>
      <c r="D24" s="47"/>
      <c r="E24" s="17"/>
      <c r="F24" s="40"/>
    </row>
    <row r="25" spans="1:8" ht="15.75" thickBot="1" x14ac:dyDescent="0.3">
      <c r="A25" s="44"/>
      <c r="B25" s="62"/>
      <c r="C25" s="62"/>
      <c r="D25" s="53"/>
      <c r="E25" s="19"/>
      <c r="F25" s="60"/>
    </row>
    <row r="26" spans="1:8" ht="21.75" thickBot="1" x14ac:dyDescent="0.4">
      <c r="A26" s="7" t="s">
        <v>16</v>
      </c>
      <c r="B26" s="1"/>
      <c r="C26" s="1"/>
      <c r="D26" s="1"/>
      <c r="E26" s="1"/>
      <c r="G26" s="1"/>
    </row>
    <row r="27" spans="1:8" x14ac:dyDescent="0.25">
      <c r="A27" s="1"/>
      <c r="B27" s="1"/>
      <c r="C27" s="1"/>
      <c r="D27" s="1"/>
      <c r="E27" s="1"/>
      <c r="G27" s="1"/>
      <c r="H27" s="1"/>
    </row>
    <row r="28" spans="1:8" x14ac:dyDescent="0.25">
      <c r="A28" s="1"/>
      <c r="B28" s="1"/>
      <c r="C28" s="1"/>
      <c r="D28" s="1"/>
      <c r="E28" s="1"/>
      <c r="G28" s="1"/>
      <c r="H28" s="1"/>
    </row>
    <row r="29" spans="1:8" x14ac:dyDescent="0.25">
      <c r="A29" s="1"/>
      <c r="B29" s="1"/>
      <c r="C29" s="1"/>
      <c r="D29" s="1"/>
      <c r="E29" s="1"/>
    </row>
    <row r="30" spans="1:8" x14ac:dyDescent="0.25">
      <c r="A30" s="1"/>
      <c r="B30" s="1"/>
      <c r="C30" s="1"/>
      <c r="D30" s="1"/>
      <c r="E30" s="1"/>
    </row>
    <row r="31" spans="1:8" x14ac:dyDescent="0.25">
      <c r="A31" s="1"/>
      <c r="B31" s="1"/>
      <c r="C31" s="1"/>
      <c r="D31" s="1"/>
      <c r="E31" s="1"/>
    </row>
  </sheetData>
  <phoneticPr fontId="6" type="noConversion"/>
  <conditionalFormatting sqref="A10:C19 A24:C25">
    <cfRule type="expression" dxfId="113" priority="72">
      <formula>EVEN(ROW())=ROW()</formula>
    </cfRule>
  </conditionalFormatting>
  <conditionalFormatting sqref="E10">
    <cfRule type="expression" dxfId="112" priority="65">
      <formula>SEARCH("Oppgaver: ",E10:E21)</formula>
    </cfRule>
    <cfRule type="expression" dxfId="111" priority="66">
      <formula>SEARCH("Logg: ",E10:E21)</formula>
    </cfRule>
    <cfRule type="expression" dxfId="110" priority="67">
      <formula>SEARCH("Logg/Oppgaver: ",E10:E21)</formula>
    </cfRule>
    <cfRule type="expression" dxfId="109" priority="68">
      <formula>SEARCH("Administrativt: ",E10:E21)</formula>
    </cfRule>
    <cfRule type="expression" dxfId="108" priority="69">
      <formula>SEARCH("Utvikling: ",E10:E21)</formula>
    </cfRule>
    <cfRule type="expression" dxfId="107" priority="70">
      <formula>SEARCH("Teori: ",E10:E21)</formula>
    </cfRule>
    <cfRule type="expression" dxfId="106" priority="71">
      <formula>EVEN(ROW())=ROW()</formula>
    </cfRule>
  </conditionalFormatting>
  <conditionalFormatting sqref="F10">
    <cfRule type="expression" dxfId="105" priority="23">
      <formula>SEARCH("Oppgaver: ",F10:F21)</formula>
    </cfRule>
    <cfRule type="expression" dxfId="104" priority="24">
      <formula>SEARCH("Logg: ",F10:F21)</formula>
    </cfRule>
    <cfRule type="expression" dxfId="103" priority="25">
      <formula>SEARCH("Logg/Oppgaver: ",F10:F21)</formula>
    </cfRule>
    <cfRule type="expression" dxfId="102" priority="26">
      <formula>SEARCH("Administrativt: ",F10:F21)</formula>
    </cfRule>
    <cfRule type="expression" dxfId="101" priority="27">
      <formula>SEARCH("Utvikling: ",F10:F21)</formula>
    </cfRule>
    <cfRule type="expression" dxfId="100" priority="28">
      <formula>SEARCH("Teori: ",F10:F21)</formula>
    </cfRule>
    <cfRule type="expression" dxfId="99" priority="29">
      <formula>EVEN(ROW())=ROW()</formula>
    </cfRule>
  </conditionalFormatting>
  <conditionalFormatting sqref="D10:D19 D24:D25">
    <cfRule type="cellIs" dxfId="98" priority="22" operator="equal">
      <formula>0</formula>
    </cfRule>
  </conditionalFormatting>
  <conditionalFormatting sqref="D10:D19 D24:D25">
    <cfRule type="expression" dxfId="97" priority="21">
      <formula>EVEN(ROW())=ROW()</formula>
    </cfRule>
  </conditionalFormatting>
  <conditionalFormatting sqref="A20:C23">
    <cfRule type="expression" dxfId="96" priority="3">
      <formula>EVEN(ROW())=ROW()</formula>
    </cfRule>
  </conditionalFormatting>
  <conditionalFormatting sqref="D20:D23">
    <cfRule type="cellIs" dxfId="95" priority="2" operator="equal">
      <formula>0</formula>
    </cfRule>
  </conditionalFormatting>
  <conditionalFormatting sqref="D20:D23">
    <cfRule type="expression" dxfId="94" priority="1">
      <formula>EVEN(ROW())=ROW()</formula>
    </cfRule>
  </conditionalFormatting>
  <conditionalFormatting sqref="F18 F16 F14 F12 F24 F22 F20 E11:E25">
    <cfRule type="expression" dxfId="93" priority="96">
      <formula>SEARCH("Oppgaver: ",E11:E26)</formula>
    </cfRule>
    <cfRule type="expression" dxfId="92" priority="97">
      <formula>SEARCH("Logg: ",E11:E26)</formula>
    </cfRule>
    <cfRule type="expression" dxfId="91" priority="98">
      <formula>SEARCH("Logg/Oppgaver: ",E11:E26)</formula>
    </cfRule>
    <cfRule type="expression" dxfId="90" priority="99">
      <formula>SEARCH("Administrativt: ",E11:E26)</formula>
    </cfRule>
    <cfRule type="expression" dxfId="89" priority="100">
      <formula>SEARCH("Utvikling: ",E11:E26)</formula>
    </cfRule>
    <cfRule type="expression" dxfId="88" priority="101">
      <formula>SEARCH("Teori: ",E11:E26)</formula>
    </cfRule>
    <cfRule type="expression" dxfId="87" priority="102">
      <formula>EVEN(ROW())=ROW()</formula>
    </cfRule>
  </conditionalFormatting>
  <dataValidations count="1">
    <dataValidation errorStyle="information" allowBlank="1" showInputMessage="1" sqref="E10:E25 F20 F18 F16 F14 F12 F10 F22 F24" xr:uid="{C1E0865D-9FBF-4EB2-8CBF-2CD9766FF25E}"/>
  </dataValidations>
  <pageMargins left="0.25" right="0.25" top="0.75" bottom="0.75" header="0.3" footer="0.3"/>
  <pageSetup paperSize="9" scale="90" fitToHeight="0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8749-2506-4759-8ACD-4E41C6856E49}">
  <sheetPr codeName="Sheet8">
    <pageSetUpPr fitToPage="1"/>
  </sheetPr>
  <dimension ref="A1:H31"/>
  <sheetViews>
    <sheetView zoomScale="130" zoomScaleNormal="130" workbookViewId="0">
      <selection activeCell="F21" sqref="F21"/>
    </sheetView>
  </sheetViews>
  <sheetFormatPr baseColWidth="10" defaultColWidth="11.42578125" defaultRowHeight="15" x14ac:dyDescent="0.25"/>
  <cols>
    <col min="1" max="1" width="21.42578125" customWidth="1"/>
    <col min="2" max="2" width="20.42578125" customWidth="1"/>
    <col min="3" max="3" width="13.85546875" customWidth="1"/>
    <col min="4" max="4" width="14.85546875" customWidth="1"/>
    <col min="5" max="5" width="29.5703125" customWidth="1"/>
    <col min="6" max="6" width="9.85546875" customWidth="1"/>
  </cols>
  <sheetData>
    <row r="1" spans="1:6" ht="24.75" thickTop="1" thickBot="1" x14ac:dyDescent="0.4">
      <c r="A1" s="21" t="str">
        <f>_xlfn.CONCAT("Timeliste - Anders Rubach Ese - Uke ",WEEKNUM(A4,21))</f>
        <v>Timeliste - Anders Rubach Ese - Uke 6</v>
      </c>
      <c r="B1" s="10"/>
      <c r="C1" s="22"/>
      <c r="D1" s="11"/>
      <c r="E1" s="11"/>
      <c r="F1" s="23"/>
    </row>
    <row r="2" spans="1:6" ht="16.5" thickTop="1" thickBot="1" x14ac:dyDescent="0.3"/>
    <row r="3" spans="1:6" ht="30.75" thickBot="1" x14ac:dyDescent="0.3">
      <c r="A3" s="31" t="s">
        <v>1</v>
      </c>
      <c r="B3" s="30" t="s">
        <v>2</v>
      </c>
      <c r="C3" s="33" t="s">
        <v>3</v>
      </c>
      <c r="D3" s="32" t="s">
        <v>4</v>
      </c>
      <c r="E3" s="29" t="s">
        <v>5</v>
      </c>
    </row>
    <row r="4" spans="1:6" ht="15.75" thickBot="1" x14ac:dyDescent="0.3">
      <c r="A4" s="35">
        <f>DATE(2021,2,8)</f>
        <v>44235</v>
      </c>
      <c r="B4" s="34">
        <f>A4+6</f>
        <v>44241</v>
      </c>
      <c r="C4" s="56" t="s">
        <v>6</v>
      </c>
      <c r="D4" s="26">
        <f>SUMIF($E$10:$E$25,"Teori: *",$D$10:$D$25)</f>
        <v>5.2777777777777701E-2</v>
      </c>
      <c r="E4" s="28">
        <f ca="1">SUM(PrevSheet(E4)+D4)</f>
        <v>6.3194444444444331E-2</v>
      </c>
    </row>
    <row r="5" spans="1:6" ht="30.75" thickBot="1" x14ac:dyDescent="0.3">
      <c r="A5" s="54" t="str">
        <f>CONCATENATE("Total tid brukt i uke ", MID(A1,37,1))</f>
        <v>Total tid brukt i uke 6</v>
      </c>
      <c r="B5" s="55" t="str">
        <f>CONCATENATE("Total tid prosjekt inntil uke ", MID(A1,37,1))</f>
        <v>Total tid prosjekt inntil uke 6</v>
      </c>
      <c r="C5" s="57" t="s">
        <v>7</v>
      </c>
      <c r="D5" s="26">
        <f>SUMIF($E$10:$E$25,"Utvikling: *",$D$10:$D$25)</f>
        <v>0</v>
      </c>
      <c r="E5" s="28">
        <f ca="1">SUM(PrevSheet(E5)+D5)</f>
        <v>0.125</v>
      </c>
    </row>
    <row r="6" spans="1:6" ht="15.75" thickBot="1" x14ac:dyDescent="0.3">
      <c r="A6" s="25">
        <f>SUM($D$4:$D$7)</f>
        <v>0.71041666666666659</v>
      </c>
      <c r="B6" s="24">
        <f ca="1">SUM(PrevSheet(B6)+A6)</f>
        <v>2.3319444444444444</v>
      </c>
      <c r="C6" s="58" t="s">
        <v>8</v>
      </c>
      <c r="D6" s="26">
        <f>SUMIF($E$10:$E$21,"Administrativt: *",$D$10:$D$25)</f>
        <v>0.11666666666666659</v>
      </c>
      <c r="E6" s="28">
        <f ca="1">SUM(PrevSheet(E6)+D6)</f>
        <v>0.40416666666666662</v>
      </c>
    </row>
    <row r="7" spans="1:6" ht="20.45" customHeight="1" thickBot="1" x14ac:dyDescent="0.3">
      <c r="A7" s="9"/>
      <c r="B7" s="4"/>
      <c r="C7" s="59" t="s">
        <v>9</v>
      </c>
      <c r="D7" s="27">
        <f>SUM(SUMIF($E$10:$E$25,"Logg: *",$D$10:$D$25),SUMIF($E$10:$E$25,"Oppgaver: *",$D$10:$D$25),SUMIF($E$10:$E$25,"Logg/Oppgaver: *",$D$10:$D$25),)</f>
        <v>0.5409722222222223</v>
      </c>
      <c r="E7" s="28">
        <f ca="1">SUM(PrevSheet(E7)+D7)</f>
        <v>1.7395833333333335</v>
      </c>
    </row>
    <row r="8" spans="1:6" ht="15.75" thickBot="1" x14ac:dyDescent="0.3">
      <c r="A8" s="5"/>
      <c r="B8" s="3"/>
      <c r="C8" s="8"/>
      <c r="D8" s="3"/>
      <c r="E8" s="3"/>
      <c r="F8" s="20"/>
    </row>
    <row r="9" spans="1:6" ht="15.75" thickBot="1" x14ac:dyDescent="0.3">
      <c r="A9" s="6" t="s">
        <v>10</v>
      </c>
      <c r="B9" s="2" t="s">
        <v>11</v>
      </c>
      <c r="C9" s="2" t="s">
        <v>12</v>
      </c>
      <c r="D9" s="2" t="s">
        <v>13</v>
      </c>
      <c r="E9" s="13" t="s">
        <v>14</v>
      </c>
      <c r="F9" s="12" t="s">
        <v>15</v>
      </c>
    </row>
    <row r="10" spans="1:6" x14ac:dyDescent="0.25">
      <c r="A10" s="36">
        <f>DATE(2021,2,8)</f>
        <v>44235</v>
      </c>
      <c r="B10" s="45">
        <v>0.5</v>
      </c>
      <c r="C10" s="45">
        <v>0.69791666666666663</v>
      </c>
      <c r="D10" s="45">
        <f t="shared" ref="D10:D20" si="0">(C10-B10)</f>
        <v>0.19791666666666663</v>
      </c>
      <c r="E10" s="14" t="s">
        <v>41</v>
      </c>
      <c r="F10" s="40" t="s">
        <v>36</v>
      </c>
    </row>
    <row r="11" spans="1:6" x14ac:dyDescent="0.25">
      <c r="A11" s="37">
        <f>DATE(2021,2,9)</f>
        <v>44236</v>
      </c>
      <c r="B11" s="46">
        <v>0.52083333333333337</v>
      </c>
      <c r="C11" s="46">
        <v>0.58333333333333337</v>
      </c>
      <c r="D11" s="46">
        <f t="shared" si="0"/>
        <v>6.25E-2</v>
      </c>
      <c r="E11" s="15" t="s">
        <v>42</v>
      </c>
      <c r="F11" s="41" t="s">
        <v>36</v>
      </c>
    </row>
    <row r="12" spans="1:6" x14ac:dyDescent="0.25">
      <c r="A12" s="38">
        <f>DATE(2021,2,9)</f>
        <v>44236</v>
      </c>
      <c r="B12" s="47">
        <v>0.58333333333333337</v>
      </c>
      <c r="C12" s="47">
        <v>0.61527777777777781</v>
      </c>
      <c r="D12" s="47">
        <f t="shared" si="0"/>
        <v>3.1944444444444442E-2</v>
      </c>
      <c r="E12" s="16" t="s">
        <v>17</v>
      </c>
      <c r="F12" s="40" t="s">
        <v>18</v>
      </c>
    </row>
    <row r="13" spans="1:6" x14ac:dyDescent="0.25">
      <c r="A13" s="42">
        <f>DATE(2021,2,9)</f>
        <v>44236</v>
      </c>
      <c r="B13" s="48">
        <v>0.61527777777777781</v>
      </c>
      <c r="C13" s="48">
        <v>0.70833333333333337</v>
      </c>
      <c r="D13" s="51">
        <f t="shared" si="0"/>
        <v>9.3055555555555558E-2</v>
      </c>
      <c r="E13" s="15" t="s">
        <v>43</v>
      </c>
      <c r="F13" s="41" t="s">
        <v>36</v>
      </c>
    </row>
    <row r="14" spans="1:6" x14ac:dyDescent="0.25">
      <c r="A14" s="38">
        <f>DATE(2021,2,10)</f>
        <v>44237</v>
      </c>
      <c r="B14" s="49">
        <v>0.5</v>
      </c>
      <c r="C14" s="49">
        <v>0.54513888888888895</v>
      </c>
      <c r="D14" s="47">
        <f t="shared" si="0"/>
        <v>4.5138888888888951E-2</v>
      </c>
      <c r="E14" s="17" t="s">
        <v>44</v>
      </c>
      <c r="F14" s="40" t="s">
        <v>36</v>
      </c>
    </row>
    <row r="15" spans="1:6" x14ac:dyDescent="0.25">
      <c r="A15" s="42">
        <f>DATE(2021,2,10)</f>
        <v>44237</v>
      </c>
      <c r="B15" s="48">
        <v>0.76041666666666663</v>
      </c>
      <c r="C15" s="48">
        <v>0.77777777777777779</v>
      </c>
      <c r="D15" s="51">
        <f t="shared" si="0"/>
        <v>1.736111111111116E-2</v>
      </c>
      <c r="E15" s="18" t="s">
        <v>45</v>
      </c>
      <c r="F15" s="41" t="s">
        <v>36</v>
      </c>
    </row>
    <row r="16" spans="1:6" x14ac:dyDescent="0.25">
      <c r="A16" s="39">
        <f>DATE(2021,2,10)</f>
        <v>44237</v>
      </c>
      <c r="B16" s="49">
        <v>0.875</v>
      </c>
      <c r="C16" s="49">
        <v>0.9277777777777777</v>
      </c>
      <c r="D16" s="47">
        <f t="shared" si="0"/>
        <v>5.2777777777777701E-2</v>
      </c>
      <c r="E16" s="17" t="s">
        <v>46</v>
      </c>
      <c r="F16" s="40" t="s">
        <v>18</v>
      </c>
    </row>
    <row r="17" spans="1:8" x14ac:dyDescent="0.25">
      <c r="A17" s="42">
        <f>DATE(2021,2,11)</f>
        <v>44238</v>
      </c>
      <c r="B17" s="48">
        <v>0.4861111111111111</v>
      </c>
      <c r="C17" s="48">
        <v>0.5</v>
      </c>
      <c r="D17" s="52">
        <f t="shared" si="0"/>
        <v>1.3888888888888895E-2</v>
      </c>
      <c r="E17" s="18" t="s">
        <v>47</v>
      </c>
      <c r="F17" s="41" t="s">
        <v>18</v>
      </c>
    </row>
    <row r="18" spans="1:8" x14ac:dyDescent="0.25">
      <c r="A18" s="39">
        <f>DATE(2021,2,11)</f>
        <v>44238</v>
      </c>
      <c r="B18" s="49">
        <v>0.5</v>
      </c>
      <c r="C18" s="49">
        <v>0.54999999999999993</v>
      </c>
      <c r="D18" s="47">
        <f t="shared" si="0"/>
        <v>4.9999999999999933E-2</v>
      </c>
      <c r="E18" s="17" t="s">
        <v>25</v>
      </c>
      <c r="F18" s="40" t="s">
        <v>18</v>
      </c>
    </row>
    <row r="19" spans="1:8" x14ac:dyDescent="0.25">
      <c r="A19" s="42">
        <f>DATE(2021,2,11)</f>
        <v>44238</v>
      </c>
      <c r="B19" s="48">
        <v>0.54513888888888895</v>
      </c>
      <c r="C19" s="48">
        <v>0.58333333333333337</v>
      </c>
      <c r="D19" s="52">
        <f t="shared" si="0"/>
        <v>3.819444444444442E-2</v>
      </c>
      <c r="E19" s="18" t="s">
        <v>48</v>
      </c>
      <c r="F19" s="41" t="s">
        <v>36</v>
      </c>
    </row>
    <row r="20" spans="1:8" x14ac:dyDescent="0.25">
      <c r="A20" s="39">
        <f>DATE(2021,2,12)</f>
        <v>44239</v>
      </c>
      <c r="B20" s="49">
        <v>0.41666666666666669</v>
      </c>
      <c r="C20" s="49">
        <v>0.4375</v>
      </c>
      <c r="D20" s="47">
        <f t="shared" si="0"/>
        <v>2.0833333333333315E-2</v>
      </c>
      <c r="E20" s="17" t="s">
        <v>49</v>
      </c>
      <c r="F20" s="40" t="s">
        <v>18</v>
      </c>
    </row>
    <row r="21" spans="1:8" x14ac:dyDescent="0.25">
      <c r="A21" s="42">
        <f>DATE(2021,2,14)</f>
        <v>44241</v>
      </c>
      <c r="B21" s="48">
        <v>0.5</v>
      </c>
      <c r="C21" s="48">
        <v>0.58680555555555558</v>
      </c>
      <c r="D21" s="52">
        <f>(C21-B21)</f>
        <v>8.680555555555558E-2</v>
      </c>
      <c r="E21" s="18" t="s">
        <v>48</v>
      </c>
      <c r="F21" s="41" t="s">
        <v>36</v>
      </c>
    </row>
    <row r="22" spans="1:8" x14ac:dyDescent="0.25">
      <c r="A22" s="39"/>
      <c r="B22" s="49"/>
      <c r="C22" s="49"/>
      <c r="D22" s="52"/>
      <c r="E22" s="17"/>
      <c r="F22" s="40"/>
    </row>
    <row r="23" spans="1:8" x14ac:dyDescent="0.25">
      <c r="A23" s="42"/>
      <c r="B23" s="48"/>
      <c r="C23" s="48"/>
      <c r="D23" s="52"/>
      <c r="E23" s="18"/>
      <c r="F23" s="41"/>
    </row>
    <row r="24" spans="1:8" x14ac:dyDescent="0.25">
      <c r="A24" s="39"/>
      <c r="B24" s="49"/>
      <c r="C24" s="49"/>
      <c r="D24" s="47"/>
      <c r="E24" s="17"/>
      <c r="F24" s="40"/>
    </row>
    <row r="25" spans="1:8" ht="15.75" thickBot="1" x14ac:dyDescent="0.3">
      <c r="A25" s="44"/>
      <c r="B25" s="62"/>
      <c r="C25" s="62"/>
      <c r="D25" s="53"/>
      <c r="E25" s="19"/>
      <c r="F25" s="60"/>
    </row>
    <row r="26" spans="1:8" ht="21.75" thickBot="1" x14ac:dyDescent="0.4">
      <c r="A26" s="7" t="s">
        <v>16</v>
      </c>
      <c r="B26" s="1"/>
      <c r="C26" s="1"/>
      <c r="D26" s="1"/>
      <c r="E26" s="1"/>
      <c r="G26" s="1"/>
    </row>
    <row r="27" spans="1:8" x14ac:dyDescent="0.25">
      <c r="A27" s="1"/>
      <c r="B27" s="1"/>
      <c r="C27" s="1"/>
      <c r="D27" s="1"/>
      <c r="E27" s="1"/>
      <c r="G27" s="1"/>
      <c r="H27" s="1"/>
    </row>
    <row r="28" spans="1:8" x14ac:dyDescent="0.25">
      <c r="A28" s="1"/>
      <c r="B28" s="1"/>
      <c r="C28" s="1"/>
      <c r="D28" s="1"/>
      <c r="E28" s="1"/>
      <c r="G28" s="1"/>
      <c r="H28" s="1"/>
    </row>
    <row r="29" spans="1:8" x14ac:dyDescent="0.25">
      <c r="A29" s="1"/>
      <c r="B29" s="1"/>
      <c r="C29" s="1"/>
      <c r="D29" s="1"/>
      <c r="E29" s="1"/>
    </row>
    <row r="30" spans="1:8" x14ac:dyDescent="0.25">
      <c r="A30" s="1"/>
      <c r="B30" s="1"/>
      <c r="C30" s="1"/>
      <c r="D30" s="1"/>
      <c r="E30" s="1"/>
    </row>
    <row r="31" spans="1:8" x14ac:dyDescent="0.25">
      <c r="A31" s="1"/>
      <c r="B31" s="1"/>
      <c r="C31" s="1"/>
      <c r="D31" s="1"/>
      <c r="E31" s="1"/>
    </row>
  </sheetData>
  <conditionalFormatting sqref="A24:C25 A10:C19">
    <cfRule type="expression" dxfId="86" priority="20">
      <formula>EVEN(ROW())=ROW()</formula>
    </cfRule>
  </conditionalFormatting>
  <conditionalFormatting sqref="E10">
    <cfRule type="expression" dxfId="85" priority="13">
      <formula>SEARCH("Oppgaver: ",E10:E21)</formula>
    </cfRule>
    <cfRule type="expression" dxfId="84" priority="14">
      <formula>SEARCH("Logg: ",E10:E21)</formula>
    </cfRule>
    <cfRule type="expression" dxfId="83" priority="15">
      <formula>SEARCH("Logg/Oppgaver: ",E10:E21)</formula>
    </cfRule>
    <cfRule type="expression" dxfId="82" priority="16">
      <formula>SEARCH("Administrativt: ",E10:E21)</formula>
    </cfRule>
    <cfRule type="expression" dxfId="81" priority="17">
      <formula>SEARCH("Utvikling: ",E10:E21)</formula>
    </cfRule>
    <cfRule type="expression" dxfId="80" priority="18">
      <formula>SEARCH("Teori: ",E10:E21)</formula>
    </cfRule>
    <cfRule type="expression" dxfId="79" priority="19">
      <formula>EVEN(ROW())=ROW()</formula>
    </cfRule>
  </conditionalFormatting>
  <conditionalFormatting sqref="F10">
    <cfRule type="expression" dxfId="78" priority="6">
      <formula>SEARCH("Oppgaver: ",F10:F21)</formula>
    </cfRule>
    <cfRule type="expression" dxfId="77" priority="7">
      <formula>SEARCH("Logg: ",F10:F21)</formula>
    </cfRule>
    <cfRule type="expression" dxfId="76" priority="8">
      <formula>SEARCH("Logg/Oppgaver: ",F10:F21)</formula>
    </cfRule>
    <cfRule type="expression" dxfId="75" priority="9">
      <formula>SEARCH("Administrativt: ",F10:F21)</formula>
    </cfRule>
    <cfRule type="expression" dxfId="74" priority="10">
      <formula>SEARCH("Utvikling: ",F10:F21)</formula>
    </cfRule>
    <cfRule type="expression" dxfId="73" priority="11">
      <formula>SEARCH("Teori: ",F10:F21)</formula>
    </cfRule>
    <cfRule type="expression" dxfId="72" priority="12">
      <formula>EVEN(ROW())=ROW()</formula>
    </cfRule>
  </conditionalFormatting>
  <conditionalFormatting sqref="D10:D19 D24:D25">
    <cfRule type="cellIs" dxfId="71" priority="5" operator="equal">
      <formula>0</formula>
    </cfRule>
  </conditionalFormatting>
  <conditionalFormatting sqref="D10:D19 D24:D25">
    <cfRule type="expression" dxfId="70" priority="4">
      <formula>EVEN(ROW())=ROW()</formula>
    </cfRule>
  </conditionalFormatting>
  <conditionalFormatting sqref="A20:C23">
    <cfRule type="expression" dxfId="69" priority="3">
      <formula>EVEN(ROW())=ROW()</formula>
    </cfRule>
  </conditionalFormatting>
  <conditionalFormatting sqref="D20:D23">
    <cfRule type="cellIs" dxfId="68" priority="2" operator="equal">
      <formula>0</formula>
    </cfRule>
  </conditionalFormatting>
  <conditionalFormatting sqref="D20:D23">
    <cfRule type="expression" dxfId="67" priority="1">
      <formula>EVEN(ROW())=ROW()</formula>
    </cfRule>
  </conditionalFormatting>
  <conditionalFormatting sqref="F18 F16 F14 F12 F24 F22 F20 E11:E25">
    <cfRule type="expression" dxfId="66" priority="21">
      <formula>SEARCH("Oppgaver: ",E11:E26)</formula>
    </cfRule>
    <cfRule type="expression" dxfId="65" priority="22">
      <formula>SEARCH("Logg: ",E11:E26)</formula>
    </cfRule>
    <cfRule type="expression" dxfId="64" priority="23">
      <formula>SEARCH("Logg/Oppgaver: ",E11:E26)</formula>
    </cfRule>
    <cfRule type="expression" dxfId="63" priority="24">
      <formula>SEARCH("Administrativt: ",E11:E26)</formula>
    </cfRule>
    <cfRule type="expression" dxfId="62" priority="25">
      <formula>SEARCH("Utvikling: ",E11:E26)</formula>
    </cfRule>
    <cfRule type="expression" dxfId="61" priority="26">
      <formula>SEARCH("Teori: ",E11:E26)</formula>
    </cfRule>
    <cfRule type="expression" dxfId="60" priority="27">
      <formula>EVEN(ROW())=ROW()</formula>
    </cfRule>
  </conditionalFormatting>
  <dataValidations count="1">
    <dataValidation errorStyle="information" allowBlank="1" showInputMessage="1" sqref="E10:E25 F20 F18 F16 F14 F12 F10 F22 F24" xr:uid="{83656762-6DC2-42F8-9FFE-99F96342E4C9}"/>
  </dataValidations>
  <pageMargins left="0.25" right="0.25" top="0.75" bottom="0.75" header="0.3" footer="0.3"/>
  <pageSetup paperSize="9" scale="90" fitToHeight="0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DF426-8CFF-4A95-AB44-0966C972907C}">
  <sheetPr codeName="Sheet9">
    <pageSetUpPr fitToPage="1"/>
  </sheetPr>
  <dimension ref="A1:H31"/>
  <sheetViews>
    <sheetView zoomScale="115" zoomScaleNormal="115" workbookViewId="0">
      <selection activeCell="G9" sqref="G9"/>
    </sheetView>
  </sheetViews>
  <sheetFormatPr baseColWidth="10" defaultColWidth="11.42578125" defaultRowHeight="15" x14ac:dyDescent="0.25"/>
  <cols>
    <col min="1" max="1" width="21.42578125" customWidth="1"/>
    <col min="2" max="2" width="20.42578125" customWidth="1"/>
    <col min="3" max="3" width="13.85546875" customWidth="1"/>
    <col min="4" max="4" width="14.85546875" customWidth="1"/>
    <col min="5" max="5" width="29.5703125" customWidth="1"/>
    <col min="6" max="6" width="9.85546875" customWidth="1"/>
  </cols>
  <sheetData>
    <row r="1" spans="1:6" ht="24.75" thickTop="1" thickBot="1" x14ac:dyDescent="0.4">
      <c r="A1" s="21" t="str">
        <f>_xlfn.CONCAT("Timeliste - Anders Rubach Ese - Uke ",WEEKNUM(A4,21))</f>
        <v>Timeliste - Anders Rubach Ese - Uke 7</v>
      </c>
      <c r="B1" s="10"/>
      <c r="C1" s="22"/>
      <c r="D1" s="11"/>
      <c r="E1" s="11"/>
      <c r="F1" s="23"/>
    </row>
    <row r="2" spans="1:6" ht="16.5" thickTop="1" thickBot="1" x14ac:dyDescent="0.3"/>
    <row r="3" spans="1:6" ht="30.75" thickBot="1" x14ac:dyDescent="0.3">
      <c r="A3" s="31" t="s">
        <v>1</v>
      </c>
      <c r="B3" s="30" t="s">
        <v>2</v>
      </c>
      <c r="C3" s="33" t="s">
        <v>3</v>
      </c>
      <c r="D3" s="32" t="s">
        <v>4</v>
      </c>
      <c r="E3" s="29" t="s">
        <v>5</v>
      </c>
    </row>
    <row r="4" spans="1:6" ht="15.75" thickBot="1" x14ac:dyDescent="0.3">
      <c r="A4" s="35">
        <f>DATE(2021,2,15)</f>
        <v>44242</v>
      </c>
      <c r="B4" s="34">
        <f>A4+6</f>
        <v>44248</v>
      </c>
      <c r="C4" s="56" t="s">
        <v>6</v>
      </c>
      <c r="D4" s="26">
        <f>SUMIF($E$10:$E$25,"Teori: *",$D$10:$D$25)</f>
        <v>6.944444444444442E-2</v>
      </c>
      <c r="E4" s="28">
        <f ca="1">SUM(PrevSheet(E4)+D4)</f>
        <v>0.13263888888888875</v>
      </c>
    </row>
    <row r="5" spans="1:6" ht="30.75" thickBot="1" x14ac:dyDescent="0.3">
      <c r="A5" s="54" t="str">
        <f>CONCATENATE("Total tid brukt i uke ", MID(A1,37,1))</f>
        <v>Total tid brukt i uke 7</v>
      </c>
      <c r="B5" s="55" t="str">
        <f>CONCATENATE("Total tid prosjekt inntil uke ", MID(A1,37,1))</f>
        <v>Total tid prosjekt inntil uke 7</v>
      </c>
      <c r="C5" s="57" t="s">
        <v>7</v>
      </c>
      <c r="D5" s="26">
        <f>SUMIF($E$10:$E$25,"Utvikling: *",$D$10:$D$25)</f>
        <v>2.7777777777777901E-2</v>
      </c>
      <c r="E5" s="28">
        <f ca="1">SUM(PrevSheet(E5)+D5)</f>
        <v>0.1527777777777779</v>
      </c>
    </row>
    <row r="6" spans="1:6" ht="15.75" thickBot="1" x14ac:dyDescent="0.3">
      <c r="A6" s="25">
        <f>SUM($D$4:$D$7)</f>
        <v>0.49305555555555575</v>
      </c>
      <c r="B6" s="24">
        <f ca="1">SUM(PrevSheet(B6)+A6)</f>
        <v>2.8250000000000002</v>
      </c>
      <c r="C6" s="58" t="s">
        <v>8</v>
      </c>
      <c r="D6" s="26">
        <f>SUMIF($E$10:$E$21,"Administrativt: *",$D$10:$D$25)</f>
        <v>5.5555555555555525E-2</v>
      </c>
      <c r="E6" s="28">
        <f ca="1">SUM(PrevSheet(E6)+D6)</f>
        <v>0.45972222222222214</v>
      </c>
    </row>
    <row r="7" spans="1:6" ht="20.45" customHeight="1" thickBot="1" x14ac:dyDescent="0.3">
      <c r="A7" s="9"/>
      <c r="B7" s="4"/>
      <c r="C7" s="59" t="s">
        <v>9</v>
      </c>
      <c r="D7" s="27">
        <f>SUM(SUMIF($E$10:$E$25,"Logg: *",$D$10:$D$25),SUMIF($E$10:$E$25,"Oppgaver: *",$D$10:$D$25),SUMIF($E$10:$E$25,"Logg/Oppgaver: *",$D$10:$D$25),)</f>
        <v>0.3402777777777779</v>
      </c>
      <c r="E7" s="28">
        <f ca="1">SUM(PrevSheet(E7)+D7)</f>
        <v>2.0798611111111116</v>
      </c>
    </row>
    <row r="8" spans="1:6" ht="15.75" thickBot="1" x14ac:dyDescent="0.3">
      <c r="A8" s="5"/>
      <c r="B8" s="3"/>
      <c r="C8" s="8"/>
      <c r="D8" s="3"/>
      <c r="E8" s="3"/>
      <c r="F8" s="20"/>
    </row>
    <row r="9" spans="1:6" ht="15.75" thickBot="1" x14ac:dyDescent="0.3">
      <c r="A9" s="6" t="s">
        <v>10</v>
      </c>
      <c r="B9" s="2" t="s">
        <v>11</v>
      </c>
      <c r="C9" s="2" t="s">
        <v>12</v>
      </c>
      <c r="D9" s="2" t="s">
        <v>13</v>
      </c>
      <c r="E9" s="13" t="s">
        <v>14</v>
      </c>
      <c r="F9" s="12" t="s">
        <v>15</v>
      </c>
    </row>
    <row r="10" spans="1:6" x14ac:dyDescent="0.25">
      <c r="A10" s="36">
        <f>DATE(2021,2,15)</f>
        <v>44242</v>
      </c>
      <c r="B10" s="45">
        <v>0.5</v>
      </c>
      <c r="C10" s="45">
        <v>0.67013888888888884</v>
      </c>
      <c r="D10" s="45">
        <f t="shared" ref="D10:D16" si="0">(C10-B10)</f>
        <v>0.17013888888888884</v>
      </c>
      <c r="E10" s="14" t="s">
        <v>41</v>
      </c>
      <c r="F10" s="40" t="s">
        <v>36</v>
      </c>
    </row>
    <row r="11" spans="1:6" x14ac:dyDescent="0.25">
      <c r="A11" s="37">
        <f>DATE(2021,2,16)</f>
        <v>44243</v>
      </c>
      <c r="B11" s="46">
        <v>0.57291666666666663</v>
      </c>
      <c r="C11" s="46">
        <v>0.64583333333333337</v>
      </c>
      <c r="D11" s="46">
        <f t="shared" si="0"/>
        <v>7.2916666666666741E-2</v>
      </c>
      <c r="E11" s="15" t="s">
        <v>41</v>
      </c>
      <c r="F11" s="41" t="s">
        <v>36</v>
      </c>
    </row>
    <row r="12" spans="1:6" x14ac:dyDescent="0.25">
      <c r="A12" s="38">
        <f>DATE(2021,2,16)</f>
        <v>44243</v>
      </c>
      <c r="B12" s="47">
        <v>0.79166666666666663</v>
      </c>
      <c r="C12" s="47">
        <v>0.81944444444444453</v>
      </c>
      <c r="D12" s="47">
        <f t="shared" si="0"/>
        <v>2.7777777777777901E-2</v>
      </c>
      <c r="E12" s="16" t="s">
        <v>50</v>
      </c>
      <c r="F12" s="40" t="s">
        <v>36</v>
      </c>
    </row>
    <row r="13" spans="1:6" x14ac:dyDescent="0.25">
      <c r="A13" s="42">
        <f>DATE(2021,2,17)</f>
        <v>44244</v>
      </c>
      <c r="B13" s="48">
        <v>0.55555555555555558</v>
      </c>
      <c r="C13" s="48">
        <v>0.625</v>
      </c>
      <c r="D13" s="51">
        <f t="shared" si="0"/>
        <v>6.944444444444442E-2</v>
      </c>
      <c r="E13" s="15" t="s">
        <v>48</v>
      </c>
      <c r="F13" s="41" t="s">
        <v>36</v>
      </c>
    </row>
    <row r="14" spans="1:6" x14ac:dyDescent="0.25">
      <c r="A14" s="38">
        <f>DATE(2021,2,17)</f>
        <v>44244</v>
      </c>
      <c r="B14" s="49">
        <v>0.72222222222222221</v>
      </c>
      <c r="C14" s="49">
        <v>0.79166666666666663</v>
      </c>
      <c r="D14" s="47">
        <f t="shared" si="0"/>
        <v>6.944444444444442E-2</v>
      </c>
      <c r="E14" s="17" t="s">
        <v>51</v>
      </c>
      <c r="F14" s="40" t="s">
        <v>18</v>
      </c>
    </row>
    <row r="15" spans="1:6" x14ac:dyDescent="0.25">
      <c r="A15" s="42">
        <f>DATE(2021,2,17)</f>
        <v>44244</v>
      </c>
      <c r="B15" s="48">
        <v>0.79166666666666663</v>
      </c>
      <c r="C15" s="48">
        <v>0.81944444444444453</v>
      </c>
      <c r="D15" s="51">
        <f t="shared" si="0"/>
        <v>2.7777777777777901E-2</v>
      </c>
      <c r="E15" s="18" t="s">
        <v>52</v>
      </c>
      <c r="F15" s="41" t="s">
        <v>18</v>
      </c>
    </row>
    <row r="16" spans="1:6" x14ac:dyDescent="0.25">
      <c r="A16" s="39">
        <f>DATE(2021,2,19)</f>
        <v>44246</v>
      </c>
      <c r="B16" s="49">
        <v>0.45833333333333331</v>
      </c>
      <c r="C16" s="49">
        <v>0.49305555555555558</v>
      </c>
      <c r="D16" s="47">
        <f t="shared" si="0"/>
        <v>3.4722222222222265E-2</v>
      </c>
      <c r="E16" s="17" t="s">
        <v>53</v>
      </c>
      <c r="F16" s="40" t="s">
        <v>18</v>
      </c>
    </row>
    <row r="17" spans="1:8" x14ac:dyDescent="0.25">
      <c r="A17" s="42">
        <f>DATE(2021,2,19)</f>
        <v>44246</v>
      </c>
      <c r="B17" s="48">
        <v>0.52777777777777779</v>
      </c>
      <c r="C17" s="48">
        <v>0.54861111111111105</v>
      </c>
      <c r="D17" s="52">
        <f>(C17-B17)</f>
        <v>2.0833333333333259E-2</v>
      </c>
      <c r="E17" s="18" t="s">
        <v>54</v>
      </c>
      <c r="F17" s="41" t="s">
        <v>18</v>
      </c>
    </row>
    <row r="18" spans="1:8" x14ac:dyDescent="0.25">
      <c r="A18" s="39"/>
      <c r="B18" s="49"/>
      <c r="C18" s="49"/>
      <c r="D18" s="47"/>
      <c r="E18" s="17"/>
      <c r="F18" s="40"/>
    </row>
    <row r="19" spans="1:8" x14ac:dyDescent="0.25">
      <c r="A19" s="42"/>
      <c r="B19" s="48"/>
      <c r="C19" s="48"/>
      <c r="D19" s="52"/>
      <c r="E19" s="18"/>
      <c r="F19" s="41"/>
    </row>
    <row r="20" spans="1:8" x14ac:dyDescent="0.25">
      <c r="A20" s="39"/>
      <c r="B20" s="49"/>
      <c r="C20" s="49"/>
      <c r="D20" s="47"/>
      <c r="E20" s="17"/>
      <c r="F20" s="40"/>
    </row>
    <row r="21" spans="1:8" x14ac:dyDescent="0.25">
      <c r="A21" s="42"/>
      <c r="B21" s="48"/>
      <c r="C21" s="48"/>
      <c r="D21" s="52"/>
      <c r="E21" s="18"/>
      <c r="F21" s="41"/>
    </row>
    <row r="22" spans="1:8" x14ac:dyDescent="0.25">
      <c r="A22" s="39"/>
      <c r="B22" s="49"/>
      <c r="C22" s="49"/>
      <c r="D22" s="52"/>
      <c r="E22" s="17"/>
      <c r="F22" s="40"/>
    </row>
    <row r="23" spans="1:8" x14ac:dyDescent="0.25">
      <c r="A23" s="42"/>
      <c r="B23" s="48"/>
      <c r="C23" s="48"/>
      <c r="D23" s="52"/>
      <c r="E23" s="18"/>
      <c r="F23" s="41"/>
    </row>
    <row r="24" spans="1:8" x14ac:dyDescent="0.25">
      <c r="A24" s="39"/>
      <c r="B24" s="49"/>
      <c r="C24" s="49"/>
      <c r="D24" s="47"/>
      <c r="E24" s="17"/>
      <c r="F24" s="40"/>
    </row>
    <row r="25" spans="1:8" ht="15.75" thickBot="1" x14ac:dyDescent="0.3">
      <c r="A25" s="44"/>
      <c r="B25" s="62"/>
      <c r="C25" s="62"/>
      <c r="D25" s="53"/>
      <c r="E25" s="19"/>
      <c r="F25" s="60"/>
    </row>
    <row r="26" spans="1:8" ht="21.75" thickBot="1" x14ac:dyDescent="0.4">
      <c r="A26" s="7" t="s">
        <v>16</v>
      </c>
      <c r="B26" s="1"/>
      <c r="C26" s="1"/>
      <c r="D26" s="1"/>
      <c r="E26" s="1"/>
      <c r="G26" s="1"/>
    </row>
    <row r="27" spans="1:8" x14ac:dyDescent="0.25">
      <c r="A27" s="1"/>
      <c r="B27" s="1"/>
      <c r="C27" s="1"/>
      <c r="D27" s="1"/>
      <c r="E27" s="1"/>
      <c r="G27" s="1"/>
      <c r="H27" s="1"/>
    </row>
    <row r="28" spans="1:8" x14ac:dyDescent="0.25">
      <c r="A28" s="1"/>
      <c r="B28" s="1"/>
      <c r="C28" s="1"/>
      <c r="D28" s="1"/>
      <c r="E28" s="1"/>
      <c r="G28" s="1"/>
      <c r="H28" s="1"/>
    </row>
    <row r="29" spans="1:8" x14ac:dyDescent="0.25">
      <c r="A29" s="1"/>
      <c r="B29" s="1"/>
      <c r="C29" s="1"/>
      <c r="D29" s="1"/>
      <c r="E29" s="1"/>
    </row>
    <row r="30" spans="1:8" x14ac:dyDescent="0.25">
      <c r="A30" s="1"/>
      <c r="B30" s="1"/>
      <c r="C30" s="1"/>
      <c r="D30" s="1"/>
      <c r="E30" s="1"/>
    </row>
    <row r="31" spans="1:8" x14ac:dyDescent="0.25">
      <c r="A31" s="1"/>
      <c r="B31" s="1"/>
      <c r="C31" s="1"/>
      <c r="D31" s="1"/>
      <c r="E31" s="1"/>
    </row>
  </sheetData>
  <conditionalFormatting sqref="A24:C25 A10:C19">
    <cfRule type="expression" dxfId="59" priority="20">
      <formula>EVEN(ROW())=ROW()</formula>
    </cfRule>
  </conditionalFormatting>
  <conditionalFormatting sqref="E10">
    <cfRule type="expression" dxfId="58" priority="13">
      <formula>SEARCH("Oppgaver: ",E10:E21)</formula>
    </cfRule>
    <cfRule type="expression" dxfId="57" priority="14">
      <formula>SEARCH("Logg: ",E10:E21)</formula>
    </cfRule>
    <cfRule type="expression" dxfId="56" priority="15">
      <formula>SEARCH("Logg/Oppgaver: ",E10:E21)</formula>
    </cfRule>
    <cfRule type="expression" dxfId="55" priority="16">
      <formula>SEARCH("Administrativt: ",E10:E21)</formula>
    </cfRule>
    <cfRule type="expression" dxfId="54" priority="17">
      <formula>SEARCH("Utvikling: ",E10:E21)</formula>
    </cfRule>
    <cfRule type="expression" dxfId="53" priority="18">
      <formula>SEARCH("Teori: ",E10:E21)</formula>
    </cfRule>
    <cfRule type="expression" dxfId="52" priority="19">
      <formula>EVEN(ROW())=ROW()</formula>
    </cfRule>
  </conditionalFormatting>
  <conditionalFormatting sqref="F10">
    <cfRule type="expression" dxfId="51" priority="6">
      <formula>SEARCH("Oppgaver: ",F10:F21)</formula>
    </cfRule>
    <cfRule type="expression" dxfId="50" priority="7">
      <formula>SEARCH("Logg: ",F10:F21)</formula>
    </cfRule>
    <cfRule type="expression" dxfId="49" priority="8">
      <formula>SEARCH("Logg/Oppgaver: ",F10:F21)</formula>
    </cfRule>
    <cfRule type="expression" dxfId="48" priority="9">
      <formula>SEARCH("Administrativt: ",F10:F21)</formula>
    </cfRule>
    <cfRule type="expression" dxfId="47" priority="10">
      <formula>SEARCH("Utvikling: ",F10:F21)</formula>
    </cfRule>
    <cfRule type="expression" dxfId="46" priority="11">
      <formula>SEARCH("Teori: ",F10:F21)</formula>
    </cfRule>
    <cfRule type="expression" dxfId="45" priority="12">
      <formula>EVEN(ROW())=ROW()</formula>
    </cfRule>
  </conditionalFormatting>
  <conditionalFormatting sqref="D10:D19 D24:D25">
    <cfRule type="cellIs" dxfId="44" priority="5" operator="equal">
      <formula>0</formula>
    </cfRule>
  </conditionalFormatting>
  <conditionalFormatting sqref="D10:D19 D24:D25">
    <cfRule type="expression" dxfId="43" priority="4">
      <formula>EVEN(ROW())=ROW()</formula>
    </cfRule>
  </conditionalFormatting>
  <conditionalFormatting sqref="A20:C23">
    <cfRule type="expression" dxfId="42" priority="3">
      <formula>EVEN(ROW())=ROW()</formula>
    </cfRule>
  </conditionalFormatting>
  <conditionalFormatting sqref="D20:D23">
    <cfRule type="cellIs" dxfId="41" priority="2" operator="equal">
      <formula>0</formula>
    </cfRule>
  </conditionalFormatting>
  <conditionalFormatting sqref="D20:D23">
    <cfRule type="expression" dxfId="40" priority="1">
      <formula>EVEN(ROW())=ROW()</formula>
    </cfRule>
  </conditionalFormatting>
  <conditionalFormatting sqref="F18 F16 F14 F12 F24 F22 F20 E11:E25">
    <cfRule type="expression" dxfId="39" priority="21">
      <formula>SEARCH("Oppgaver: ",E11:E26)</formula>
    </cfRule>
    <cfRule type="expression" dxfId="38" priority="22">
      <formula>SEARCH("Logg: ",E11:E26)</formula>
    </cfRule>
    <cfRule type="expression" dxfId="37" priority="23">
      <formula>SEARCH("Logg/Oppgaver: ",E11:E26)</formula>
    </cfRule>
    <cfRule type="expression" dxfId="36" priority="24">
      <formula>SEARCH("Administrativt: ",E11:E26)</formula>
    </cfRule>
    <cfRule type="expression" dxfId="35" priority="25">
      <formula>SEARCH("Utvikling: ",E11:E26)</formula>
    </cfRule>
    <cfRule type="expression" dxfId="34" priority="26">
      <formula>SEARCH("Teori: ",E11:E26)</formula>
    </cfRule>
    <cfRule type="expression" dxfId="33" priority="27">
      <formula>EVEN(ROW())=ROW()</formula>
    </cfRule>
  </conditionalFormatting>
  <dataValidations count="1">
    <dataValidation errorStyle="information" allowBlank="1" showInputMessage="1" sqref="E10:E25 F20 F18 F16 F14 F12 F10 F22 F24" xr:uid="{A2D42521-5D7D-41BB-9273-7AAB87D6E8F9}"/>
  </dataValidations>
  <pageMargins left="0.25" right="0.25" top="0.75" bottom="0.75" header="0.3" footer="0.3"/>
  <pageSetup paperSize="9" scale="90" fitToHeight="0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D60A9-B01A-4134-99A7-0B7FC9716CB7}">
  <sheetPr codeName="Sheet10">
    <pageSetUpPr fitToPage="1"/>
  </sheetPr>
  <dimension ref="A1:H34"/>
  <sheetViews>
    <sheetView tabSelected="1" topLeftCell="A19" zoomScaleNormal="100" workbookViewId="0">
      <selection activeCell="F25" sqref="F25"/>
    </sheetView>
  </sheetViews>
  <sheetFormatPr baseColWidth="10" defaultColWidth="11.42578125" defaultRowHeight="15" x14ac:dyDescent="0.25"/>
  <cols>
    <col min="1" max="1" width="21.42578125" customWidth="1"/>
    <col min="2" max="2" width="20.42578125" customWidth="1"/>
    <col min="3" max="3" width="13.85546875" customWidth="1"/>
    <col min="4" max="4" width="14.85546875" customWidth="1"/>
    <col min="5" max="5" width="29.5703125" customWidth="1"/>
    <col min="6" max="6" width="9.85546875" customWidth="1"/>
  </cols>
  <sheetData>
    <row r="1" spans="1:6" ht="24.75" thickTop="1" thickBot="1" x14ac:dyDescent="0.4">
      <c r="A1" s="21" t="str">
        <f>_xlfn.CONCAT("Timeliste - Anders Rubach Ese - Uke ",WEEKNUM(A4,21))</f>
        <v>Timeliste - Anders Rubach Ese - Uke 8</v>
      </c>
      <c r="B1" s="10"/>
      <c r="C1" s="22"/>
      <c r="D1" s="11"/>
      <c r="E1" s="11"/>
      <c r="F1" s="23"/>
    </row>
    <row r="2" spans="1:6" ht="16.5" thickTop="1" thickBot="1" x14ac:dyDescent="0.3"/>
    <row r="3" spans="1:6" ht="30.75" thickBot="1" x14ac:dyDescent="0.3">
      <c r="A3" s="31" t="s">
        <v>1</v>
      </c>
      <c r="B3" s="30" t="s">
        <v>2</v>
      </c>
      <c r="C3" s="33" t="s">
        <v>3</v>
      </c>
      <c r="D3" s="32" t="s">
        <v>4</v>
      </c>
      <c r="E3" s="29" t="s">
        <v>5</v>
      </c>
    </row>
    <row r="4" spans="1:6" ht="15.75" thickBot="1" x14ac:dyDescent="0.3">
      <c r="A4" s="35">
        <f>DATE(2021,2,22)</f>
        <v>44249</v>
      </c>
      <c r="B4" s="34">
        <f>A4+6</f>
        <v>44255</v>
      </c>
      <c r="C4" s="56" t="s">
        <v>6</v>
      </c>
      <c r="D4" s="26">
        <f>SUMIF($E$10:$E$25,"Teori: *",$D$10:$D$25)</f>
        <v>0.14583333333333337</v>
      </c>
      <c r="E4" s="28">
        <f ca="1">SUM(PrevSheet(E4)+D4)</f>
        <v>0.27847222222222212</v>
      </c>
    </row>
    <row r="5" spans="1:6" ht="30.75" thickBot="1" x14ac:dyDescent="0.3">
      <c r="A5" s="54" t="str">
        <f>CONCATENATE("Total tid brukt i uke ", MID(A1,37,1))</f>
        <v>Total tid brukt i uke 8</v>
      </c>
      <c r="B5" s="55" t="str">
        <f>CONCATENATE("Total tid prosjekt inntil uke ", MID(A1,37,1))</f>
        <v>Total tid prosjekt inntil uke 8</v>
      </c>
      <c r="C5" s="57" t="s">
        <v>7</v>
      </c>
      <c r="D5" s="26">
        <f>SUMIF($E$10:$E$25,"Utvikling: *",$D$10:$D$25)</f>
        <v>1.1597222222222223</v>
      </c>
      <c r="E5" s="28">
        <f ca="1">SUM(PrevSheet(E5)+D5)</f>
        <v>1.3125000000000002</v>
      </c>
    </row>
    <row r="6" spans="1:6" ht="15.75" thickBot="1" x14ac:dyDescent="0.3">
      <c r="A6" s="25">
        <f>SUM($D$4:$D$7)</f>
        <v>1.510416666666667</v>
      </c>
      <c r="B6" s="24">
        <f ca="1">SUM(PrevSheet(B6)+A6)</f>
        <v>4.3354166666666671</v>
      </c>
      <c r="C6" s="58" t="s">
        <v>8</v>
      </c>
      <c r="D6" s="26">
        <f>SUMIF($E$10:$E$21,"Administrativt: *",$D$10:$D$25)</f>
        <v>0.16319444444444442</v>
      </c>
      <c r="E6" s="28">
        <f ca="1">SUM(PrevSheet(E6)+D6)</f>
        <v>0.62291666666666656</v>
      </c>
    </row>
    <row r="7" spans="1:6" ht="20.45" customHeight="1" thickBot="1" x14ac:dyDescent="0.3">
      <c r="A7" s="9"/>
      <c r="B7" s="4"/>
      <c r="C7" s="59" t="s">
        <v>9</v>
      </c>
      <c r="D7" s="27">
        <f>SUM(SUMIF($E$10:$E$25,"Logg: *",$D$10:$D$25),SUMIF($E$10:$E$25,"Oppgaver: *",$D$10:$D$25),SUMIF($E$10:$E$25,"Logg/Oppgaver: *",$D$10:$D$25),)</f>
        <v>4.166666666666663E-2</v>
      </c>
      <c r="E7" s="28">
        <f ca="1">SUM(PrevSheet(E7)+D7)</f>
        <v>2.1215277777777781</v>
      </c>
    </row>
    <row r="8" spans="1:6" ht="15.75" thickBot="1" x14ac:dyDescent="0.3">
      <c r="A8" s="5"/>
      <c r="B8" s="3"/>
      <c r="C8" s="8"/>
      <c r="D8" s="3"/>
      <c r="E8" s="3"/>
      <c r="F8" s="20"/>
    </row>
    <row r="9" spans="1:6" ht="15.75" thickBot="1" x14ac:dyDescent="0.3">
      <c r="A9" s="6" t="s">
        <v>10</v>
      </c>
      <c r="B9" s="2" t="s">
        <v>11</v>
      </c>
      <c r="C9" s="2" t="s">
        <v>12</v>
      </c>
      <c r="D9" s="2" t="s">
        <v>13</v>
      </c>
      <c r="E9" s="13" t="s">
        <v>14</v>
      </c>
      <c r="F9" s="12" t="s">
        <v>15</v>
      </c>
    </row>
    <row r="10" spans="1:6" x14ac:dyDescent="0.25">
      <c r="A10" s="36">
        <f>DATE(2021,2,22)</f>
        <v>44249</v>
      </c>
      <c r="B10" s="45">
        <v>0.5</v>
      </c>
      <c r="C10" s="45">
        <v>0.52777777777777779</v>
      </c>
      <c r="D10" s="45">
        <f t="shared" ref="D10" si="0">(C10-B10)</f>
        <v>2.777777777777779E-2</v>
      </c>
      <c r="E10" s="14" t="s">
        <v>55</v>
      </c>
      <c r="F10" s="40" t="s">
        <v>18</v>
      </c>
    </row>
    <row r="11" spans="1:6" x14ac:dyDescent="0.25">
      <c r="A11" s="37">
        <f>DATE(2021,2,22)</f>
        <v>44249</v>
      </c>
      <c r="B11" s="46">
        <v>0.5</v>
      </c>
      <c r="C11" s="46">
        <v>0.53472222222222221</v>
      </c>
      <c r="D11" s="46">
        <f t="shared" ref="D11:D22" si="1">(C11-B11)</f>
        <v>3.472222222222221E-2</v>
      </c>
      <c r="E11" s="15" t="s">
        <v>56</v>
      </c>
      <c r="F11" s="41" t="s">
        <v>18</v>
      </c>
    </row>
    <row r="12" spans="1:6" x14ac:dyDescent="0.25">
      <c r="A12" s="38">
        <f>DATE(2021,2,22)</f>
        <v>44249</v>
      </c>
      <c r="B12" s="47">
        <v>0.66666666666666663</v>
      </c>
      <c r="C12" s="47">
        <v>0.72916666666666663</v>
      </c>
      <c r="D12" s="47">
        <f t="shared" si="1"/>
        <v>6.25E-2</v>
      </c>
      <c r="E12" s="16" t="s">
        <v>57</v>
      </c>
      <c r="F12" s="40" t="s">
        <v>18</v>
      </c>
    </row>
    <row r="13" spans="1:6" x14ac:dyDescent="0.25">
      <c r="A13" s="42">
        <f>DATE(2021,2,22)</f>
        <v>44249</v>
      </c>
      <c r="B13" s="48">
        <v>0.78125</v>
      </c>
      <c r="C13" s="48">
        <v>0.91666666666666663</v>
      </c>
      <c r="D13" s="51">
        <f t="shared" si="1"/>
        <v>0.13541666666666663</v>
      </c>
      <c r="E13" s="15" t="s">
        <v>59</v>
      </c>
      <c r="F13" s="41" t="s">
        <v>58</v>
      </c>
    </row>
    <row r="14" spans="1:6" x14ac:dyDescent="0.25">
      <c r="A14" s="38">
        <f>DATE(2021,2,23)</f>
        <v>44250</v>
      </c>
      <c r="B14" s="49">
        <v>0.5</v>
      </c>
      <c r="C14" s="49">
        <v>0.58333333333333337</v>
      </c>
      <c r="D14" s="47">
        <f t="shared" si="1"/>
        <v>8.333333333333337E-2</v>
      </c>
      <c r="E14" s="17" t="s">
        <v>59</v>
      </c>
      <c r="F14" s="40" t="s">
        <v>58</v>
      </c>
    </row>
    <row r="15" spans="1:6" x14ac:dyDescent="0.25">
      <c r="A15" s="42">
        <f>DATE(2021,2,23)</f>
        <v>44250</v>
      </c>
      <c r="B15" s="48">
        <v>0.58333333333333337</v>
      </c>
      <c r="C15" s="48">
        <v>0.62152777777777779</v>
      </c>
      <c r="D15" s="51">
        <f t="shared" si="1"/>
        <v>3.819444444444442E-2</v>
      </c>
      <c r="E15" s="18" t="s">
        <v>17</v>
      </c>
      <c r="F15" s="41" t="s">
        <v>18</v>
      </c>
    </row>
    <row r="16" spans="1:6" x14ac:dyDescent="0.25">
      <c r="A16" s="39">
        <f>DATE(2021,2,23)</f>
        <v>44250</v>
      </c>
      <c r="B16" s="49">
        <v>0.63194444444444442</v>
      </c>
      <c r="C16" s="49">
        <v>0.73611111111111116</v>
      </c>
      <c r="D16" s="47">
        <f t="shared" si="1"/>
        <v>0.10416666666666674</v>
      </c>
      <c r="E16" s="17" t="s">
        <v>60</v>
      </c>
      <c r="F16" s="40" t="s">
        <v>58</v>
      </c>
    </row>
    <row r="17" spans="1:8" x14ac:dyDescent="0.25">
      <c r="A17" s="42">
        <f>DATE(2021,2,23)</f>
        <v>44250</v>
      </c>
      <c r="B17" s="48">
        <v>0.78125</v>
      </c>
      <c r="C17" s="48">
        <v>0.79166666666666663</v>
      </c>
      <c r="D17" s="52">
        <f t="shared" si="1"/>
        <v>1.041666666666663E-2</v>
      </c>
      <c r="E17" s="18" t="s">
        <v>61</v>
      </c>
      <c r="F17" s="41" t="s">
        <v>18</v>
      </c>
    </row>
    <row r="18" spans="1:8" x14ac:dyDescent="0.25">
      <c r="A18" s="39">
        <f>DATE(2021,2,24)</f>
        <v>44251</v>
      </c>
      <c r="B18" s="49">
        <v>0.4375</v>
      </c>
      <c r="C18" s="49">
        <v>0.46875</v>
      </c>
      <c r="D18" s="47">
        <f t="shared" si="1"/>
        <v>3.125E-2</v>
      </c>
      <c r="E18" s="17" t="s">
        <v>62</v>
      </c>
      <c r="F18" s="40" t="s">
        <v>18</v>
      </c>
    </row>
    <row r="19" spans="1:8" x14ac:dyDescent="0.25">
      <c r="A19" s="42">
        <f>DATE(2021,2,24)</f>
        <v>44251</v>
      </c>
      <c r="B19" s="48">
        <v>0.625</v>
      </c>
      <c r="C19" s="48">
        <v>0.64583333333333337</v>
      </c>
      <c r="D19" s="52">
        <f t="shared" si="1"/>
        <v>2.083333333333337E-2</v>
      </c>
      <c r="E19" s="18" t="s">
        <v>65</v>
      </c>
      <c r="F19" s="41" t="s">
        <v>18</v>
      </c>
    </row>
    <row r="20" spans="1:8" x14ac:dyDescent="0.25">
      <c r="A20" s="39">
        <f>DATE(2021,2,24)</f>
        <v>44251</v>
      </c>
      <c r="B20" s="49">
        <v>0.65625</v>
      </c>
      <c r="C20" s="49">
        <v>0.82638888888888884</v>
      </c>
      <c r="D20" s="47">
        <f t="shared" si="1"/>
        <v>0.17013888888888884</v>
      </c>
      <c r="E20" s="17" t="s">
        <v>63</v>
      </c>
      <c r="F20" s="40" t="s">
        <v>64</v>
      </c>
    </row>
    <row r="21" spans="1:8" x14ac:dyDescent="0.25">
      <c r="A21" s="42">
        <f>DATE(2021,2,25)</f>
        <v>44252</v>
      </c>
      <c r="B21" s="48">
        <v>0.77083333333333337</v>
      </c>
      <c r="C21" s="48">
        <v>0.89583333333333337</v>
      </c>
      <c r="D21" s="52">
        <f>(C21-B21)</f>
        <v>0.125</v>
      </c>
      <c r="E21" s="18" t="s">
        <v>66</v>
      </c>
      <c r="F21" s="41" t="s">
        <v>18</v>
      </c>
    </row>
    <row r="22" spans="1:8" x14ac:dyDescent="0.25">
      <c r="A22" s="39">
        <f>DATE(2021,2,26)</f>
        <v>44253</v>
      </c>
      <c r="B22" s="49">
        <v>0.54166666666666663</v>
      </c>
      <c r="C22" s="49">
        <v>0.75</v>
      </c>
      <c r="D22" s="47">
        <f t="shared" si="1"/>
        <v>0.20833333333333337</v>
      </c>
      <c r="E22" s="17" t="s">
        <v>67</v>
      </c>
      <c r="F22" s="40" t="s">
        <v>64</v>
      </c>
    </row>
    <row r="23" spans="1:8" x14ac:dyDescent="0.25">
      <c r="A23" s="42">
        <f>DATE(2021,2,27)</f>
        <v>44254</v>
      </c>
      <c r="B23" s="48">
        <v>0.54166666666666663</v>
      </c>
      <c r="C23" s="48">
        <v>0.66666666666666663</v>
      </c>
      <c r="D23" s="52">
        <f>(C23-B23)</f>
        <v>0.125</v>
      </c>
      <c r="E23" s="18" t="s">
        <v>68</v>
      </c>
      <c r="F23" s="41" t="s">
        <v>64</v>
      </c>
    </row>
    <row r="24" spans="1:8" x14ac:dyDescent="0.25">
      <c r="A24" s="39">
        <f>DATE(2021,2,27)</f>
        <v>44254</v>
      </c>
      <c r="B24" s="49">
        <v>0.75</v>
      </c>
      <c r="C24" s="49">
        <v>0.875</v>
      </c>
      <c r="D24" s="47">
        <f>(C24-B24)</f>
        <v>0.125</v>
      </c>
      <c r="E24" s="17" t="s">
        <v>69</v>
      </c>
      <c r="F24" s="40" t="s">
        <v>18</v>
      </c>
    </row>
    <row r="25" spans="1:8" x14ac:dyDescent="0.25">
      <c r="A25" s="63">
        <f>DATE(2021,2,28)</f>
        <v>44255</v>
      </c>
      <c r="B25" s="64">
        <v>0.58333333333333337</v>
      </c>
      <c r="C25" s="64">
        <v>0.79166666666666663</v>
      </c>
      <c r="D25" s="65">
        <f>(C25-B25)</f>
        <v>0.20833333333333326</v>
      </c>
      <c r="E25" s="66" t="s">
        <v>70</v>
      </c>
      <c r="F25" s="41" t="s">
        <v>18</v>
      </c>
    </row>
    <row r="26" spans="1:8" x14ac:dyDescent="0.25">
      <c r="A26" s="67"/>
      <c r="B26" s="68"/>
      <c r="C26" s="68"/>
      <c r="D26" s="69"/>
      <c r="E26" s="70"/>
      <c r="F26" s="71"/>
      <c r="G26" s="1"/>
    </row>
    <row r="27" spans="1:8" x14ac:dyDescent="0.25">
      <c r="A27" s="64"/>
      <c r="B27" s="64"/>
      <c r="C27" s="64"/>
      <c r="D27" s="64"/>
      <c r="E27" s="64"/>
      <c r="F27" s="78"/>
      <c r="G27" s="1"/>
      <c r="H27" s="1"/>
    </row>
    <row r="28" spans="1:8" ht="15.75" thickBot="1" x14ac:dyDescent="0.3">
      <c r="A28" s="73"/>
      <c r="B28" s="74"/>
      <c r="C28" s="74"/>
      <c r="D28" s="75"/>
      <c r="E28" s="76"/>
      <c r="F28" s="77"/>
      <c r="G28" s="1"/>
      <c r="H28" s="1"/>
    </row>
    <row r="29" spans="1:8" ht="21.75" thickBot="1" x14ac:dyDescent="0.4">
      <c r="A29" s="72" t="s">
        <v>16</v>
      </c>
      <c r="B29" s="1"/>
      <c r="C29" s="1"/>
      <c r="D29" s="1"/>
      <c r="E29" s="1"/>
    </row>
    <row r="30" spans="1:8" x14ac:dyDescent="0.25">
      <c r="A30" s="1"/>
      <c r="B30" s="1"/>
      <c r="C30" s="1"/>
      <c r="D30" s="1"/>
      <c r="E30" s="1"/>
    </row>
    <row r="31" spans="1:8" x14ac:dyDescent="0.25">
      <c r="A31" s="1"/>
      <c r="B31" s="1"/>
      <c r="C31" s="1"/>
      <c r="D31" s="1"/>
      <c r="E31" s="1"/>
    </row>
    <row r="32" spans="1:8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</sheetData>
  <conditionalFormatting sqref="A10:C19 A24:C26 A28:C28">
    <cfRule type="expression" dxfId="32" priority="46">
      <formula>EVEN(ROW())=ROW()</formula>
    </cfRule>
  </conditionalFormatting>
  <conditionalFormatting sqref="E10">
    <cfRule type="expression" dxfId="31" priority="39">
      <formula>SEARCH("Oppgaver: ",E10:E21)</formula>
    </cfRule>
    <cfRule type="expression" dxfId="30" priority="40">
      <formula>SEARCH("Logg: ",E10:E21)</formula>
    </cfRule>
    <cfRule type="expression" dxfId="29" priority="41">
      <formula>SEARCH("Logg/Oppgaver: ",E10:E21)</formula>
    </cfRule>
    <cfRule type="expression" dxfId="28" priority="42">
      <formula>SEARCH("Administrativt: ",E10:E21)</formula>
    </cfRule>
    <cfRule type="expression" dxfId="27" priority="43">
      <formula>SEARCH("Utvikling: ",E10:E21)</formula>
    </cfRule>
    <cfRule type="expression" dxfId="26" priority="44">
      <formula>SEARCH("Teori: ",E10:E21)</formula>
    </cfRule>
    <cfRule type="expression" dxfId="25" priority="45">
      <formula>EVEN(ROW())=ROW()</formula>
    </cfRule>
  </conditionalFormatting>
  <conditionalFormatting sqref="F10">
    <cfRule type="expression" dxfId="24" priority="32">
      <formula>SEARCH("Oppgaver: ",F10:F21)</formula>
    </cfRule>
    <cfRule type="expression" dxfId="23" priority="33">
      <formula>SEARCH("Logg: ",F10:F21)</formula>
    </cfRule>
    <cfRule type="expression" dxfId="22" priority="34">
      <formula>SEARCH("Logg/Oppgaver: ",F10:F21)</formula>
    </cfRule>
    <cfRule type="expression" dxfId="21" priority="35">
      <formula>SEARCH("Administrativt: ",F10:F21)</formula>
    </cfRule>
    <cfRule type="expression" dxfId="20" priority="36">
      <formula>SEARCH("Utvikling: ",F10:F21)</formula>
    </cfRule>
    <cfRule type="expression" dxfId="19" priority="37">
      <formula>SEARCH("Teori: ",F10:F21)</formula>
    </cfRule>
    <cfRule type="expression" dxfId="18" priority="38">
      <formula>EVEN(ROW())=ROW()</formula>
    </cfRule>
  </conditionalFormatting>
  <conditionalFormatting sqref="D10:D19 D24:D26 D28">
    <cfRule type="cellIs" dxfId="17" priority="31" operator="equal">
      <formula>0</formula>
    </cfRule>
  </conditionalFormatting>
  <conditionalFormatting sqref="D10:D19 D24:D26 D28">
    <cfRule type="expression" dxfId="16" priority="30">
      <formula>EVEN(ROW())=ROW()</formula>
    </cfRule>
  </conditionalFormatting>
  <conditionalFormatting sqref="A20:C23">
    <cfRule type="expression" dxfId="15" priority="29">
      <formula>EVEN(ROW())=ROW()</formula>
    </cfRule>
  </conditionalFormatting>
  <conditionalFormatting sqref="D20:D23">
    <cfRule type="cellIs" dxfId="14" priority="28" operator="equal">
      <formula>0</formula>
    </cfRule>
  </conditionalFormatting>
  <conditionalFormatting sqref="D20:D23">
    <cfRule type="expression" dxfId="13" priority="27">
      <formula>EVEN(ROW())=ROW()</formula>
    </cfRule>
  </conditionalFormatting>
  <conditionalFormatting sqref="F18 F16 F14 F12 F22 F20 F24 E11:E26 F26 E28:F28">
    <cfRule type="expression" dxfId="12" priority="129">
      <formula>SEARCH("Oppgaver: ",E11:E29)</formula>
    </cfRule>
    <cfRule type="expression" dxfId="11" priority="130">
      <formula>SEARCH("Logg: ",E11:E29)</formula>
    </cfRule>
    <cfRule type="expression" dxfId="10" priority="131">
      <formula>SEARCH("Logg/Oppgaver: ",E11:E29)</formula>
    </cfRule>
    <cfRule type="expression" dxfId="9" priority="132">
      <formula>SEARCH("Administrativt: ",E11:E29)</formula>
    </cfRule>
    <cfRule type="expression" dxfId="8" priority="133">
      <formula>SEARCH("Utvikling: ",E11:E29)</formula>
    </cfRule>
    <cfRule type="expression" dxfId="7" priority="134">
      <formula>SEARCH("Teori: ",E11:E29)</formula>
    </cfRule>
    <cfRule type="expression" dxfId="6" priority="135">
      <formula>EVEN(ROW())=ROW()</formula>
    </cfRule>
  </conditionalFormatting>
  <conditionalFormatting sqref="B27">
    <cfRule type="expression" dxfId="5" priority="6">
      <formula>EVEN(ROW())=ROW()</formula>
    </cfRule>
  </conditionalFormatting>
  <conditionalFormatting sqref="C27">
    <cfRule type="expression" dxfId="4" priority="5">
      <formula>EVEN(ROW())=ROW()</formula>
    </cfRule>
  </conditionalFormatting>
  <conditionalFormatting sqref="D27">
    <cfRule type="expression" dxfId="3" priority="4">
      <formula>EVEN(ROW())=ROW()</formula>
    </cfRule>
  </conditionalFormatting>
  <conditionalFormatting sqref="E27">
    <cfRule type="expression" dxfId="2" priority="3">
      <formula>EVEN(ROW())=ROW()</formula>
    </cfRule>
  </conditionalFormatting>
  <conditionalFormatting sqref="F27">
    <cfRule type="expression" dxfId="1" priority="2">
      <formula>EVEN(ROW())=ROW()</formula>
    </cfRule>
  </conditionalFormatting>
  <conditionalFormatting sqref="A27">
    <cfRule type="expression" dxfId="0" priority="1">
      <formula>EVEN(ROW())=ROW()</formula>
    </cfRule>
  </conditionalFormatting>
  <dataValidations count="1">
    <dataValidation errorStyle="information" allowBlank="1" showInputMessage="1" sqref="F20 F18 F16 F14 F12 F10 E22:F22 E10:E21 F24 F26 E23:E26 E28:F28" xr:uid="{21938253-54FD-49EA-8AC9-99AEDE17D651}"/>
  </dataValidations>
  <pageMargins left="0.25" right="0.25" top="0.75" bottom="0.75" header="0.3" footer="0.3"/>
  <pageSetup paperSize="9" scale="90" fitToHeight="0" orientation="portrait" horizontalDpi="1200" verticalDpi="12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5C29FB23202384A9C7D6EC56A47F2AA" ma:contentTypeVersion="12" ma:contentTypeDescription="Create a new document." ma:contentTypeScope="" ma:versionID="53a820c4727cdff6e16d5ae7884ff771">
  <xsd:schema xmlns:xsd="http://www.w3.org/2001/XMLSchema" xmlns:xs="http://www.w3.org/2001/XMLSchema" xmlns:p="http://schemas.microsoft.com/office/2006/metadata/properties" xmlns:ns3="4f5da05e-f710-4b7c-8b8e-c076e7b8ff7a" xmlns:ns4="73036575-aed3-4020-9cb5-002fb21c073e" targetNamespace="http://schemas.microsoft.com/office/2006/metadata/properties" ma:root="true" ma:fieldsID="f4de8e02df9338ba31b786fbecf1db06" ns3:_="" ns4:_="">
    <xsd:import namespace="4f5da05e-f710-4b7c-8b8e-c076e7b8ff7a"/>
    <xsd:import namespace="73036575-aed3-4020-9cb5-002fb21c073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5da05e-f710-4b7c-8b8e-c076e7b8ff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036575-aed3-4020-9cb5-002fb21c073e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97EAD69-1315-417C-A013-FB25C2082E2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A0B85C5-48A1-4485-8C54-7904F928D8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5da05e-f710-4b7c-8b8e-c076e7b8ff7a"/>
    <ds:schemaRef ds:uri="73036575-aed3-4020-9cb5-002fb21c073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AA2C6CC-48A5-46DC-B088-091D732825C0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6</vt:i4>
      </vt:variant>
    </vt:vector>
  </HeadingPairs>
  <TitlesOfParts>
    <vt:vector size="6" baseType="lpstr">
      <vt:lpstr>template</vt:lpstr>
      <vt:lpstr>Uke4</vt:lpstr>
      <vt:lpstr>Uke5</vt:lpstr>
      <vt:lpstr>Uke6</vt:lpstr>
      <vt:lpstr>Uke7</vt:lpstr>
      <vt:lpstr>Uke8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Anders Rubach Ese</cp:lastModifiedBy>
  <cp:revision/>
  <dcterms:created xsi:type="dcterms:W3CDTF">2015-06-05T18:19:34Z</dcterms:created>
  <dcterms:modified xsi:type="dcterms:W3CDTF">2021-02-28T19:57:58Z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0x01010035C29FB23202384A9C7D6EC56A47F2AA</vt:lpwstr>
  </property>
</Properties>
</file>