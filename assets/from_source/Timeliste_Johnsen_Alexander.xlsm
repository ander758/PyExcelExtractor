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2" codeName="{6BE1CDB9-6C1C-A5B6-3FC1-E231EC3C600E}"/>
  <workbookPr filterPrivacy="1" codeName="ThisWorkbook"/>
  <xr:revisionPtr revIDLastSave="153" documentId="8_{1AE8640B-268B-445C-B7D3-899CCA6EE37C}" xr6:coauthVersionLast="46" xr6:coauthVersionMax="46" xr10:uidLastSave="{81DE7F89-F257-5341-B43D-7DC303673FB2}"/>
  <bookViews>
    <workbookView xWindow="0" yWindow="500" windowWidth="33600" windowHeight="18800" activeTab="5" xr2:uid="{00000000-000D-0000-FFFF-FFFF00000000}"/>
  </bookViews>
  <sheets>
    <sheet name="template" sheetId="90" r:id="rId1"/>
    <sheet name="Uke4" sheetId="110" r:id="rId2"/>
    <sheet name="Uke5" sheetId="111" r:id="rId3"/>
    <sheet name="Uke6" sheetId="112" r:id="rId4"/>
    <sheet name="Uke7" sheetId="113" r:id="rId5"/>
    <sheet name="Uke8" sheetId="114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0" i="114" l="1"/>
  <c r="D19" i="114"/>
  <c r="A19" i="114" l="1"/>
  <c r="A18" i="114" l="1"/>
  <c r="A17" i="114"/>
  <c r="A16" i="114" l="1"/>
  <c r="A15" i="114"/>
  <c r="A14" i="114"/>
  <c r="A13" i="114"/>
  <c r="A12" i="114"/>
  <c r="A11" i="114" l="1"/>
  <c r="A4" i="114"/>
  <c r="B4" i="114" s="1"/>
  <c r="D26" i="114"/>
  <c r="D25" i="114"/>
  <c r="D24" i="114"/>
  <c r="D23" i="114"/>
  <c r="D22" i="114"/>
  <c r="D21" i="114"/>
  <c r="D20" i="114"/>
  <c r="D18" i="114"/>
  <c r="D17" i="114"/>
  <c r="D16" i="114"/>
  <c r="D15" i="114"/>
  <c r="D4" i="114" s="1"/>
  <c r="D14" i="114"/>
  <c r="D13" i="114"/>
  <c r="D12" i="114"/>
  <c r="D11" i="114"/>
  <c r="D10" i="114"/>
  <c r="A10" i="114"/>
  <c r="D7" i="114"/>
  <c r="D6" i="114"/>
  <c r="D5" i="114"/>
  <c r="B5" i="114"/>
  <c r="A5" i="114"/>
  <c r="A6" i="114" l="1"/>
  <c r="A16" i="113"/>
  <c r="A15" i="113"/>
  <c r="A14" i="113" l="1"/>
  <c r="A13" i="113" l="1"/>
  <c r="A12" i="113" l="1"/>
  <c r="A11" i="113" l="1"/>
  <c r="A10" i="113" l="1"/>
  <c r="A4" i="113"/>
  <c r="B4" i="113" s="1"/>
  <c r="D26" i="113"/>
  <c r="D25" i="113"/>
  <c r="D24" i="113"/>
  <c r="D23" i="113"/>
  <c r="D22" i="113"/>
  <c r="D21" i="113"/>
  <c r="D20" i="113"/>
  <c r="D19" i="113"/>
  <c r="D18" i="113"/>
  <c r="D17" i="113"/>
  <c r="D16" i="113"/>
  <c r="D15" i="113"/>
  <c r="D14" i="113"/>
  <c r="D13" i="113"/>
  <c r="D12" i="113"/>
  <c r="D11" i="113"/>
  <c r="D10" i="113"/>
  <c r="D7" i="113"/>
  <c r="D6" i="113"/>
  <c r="D5" i="113"/>
  <c r="B5" i="113"/>
  <c r="A5" i="113"/>
  <c r="D4" i="113"/>
  <c r="A6" i="113" l="1"/>
  <c r="A19" i="112"/>
  <c r="A18" i="112" l="1"/>
  <c r="A17" i="112"/>
  <c r="A16" i="112"/>
  <c r="A15" i="112"/>
  <c r="A14" i="112"/>
  <c r="A13" i="112" l="1"/>
  <c r="A12" i="112"/>
  <c r="A11" i="112"/>
  <c r="A10" i="112"/>
  <c r="A4" i="112"/>
  <c r="B4" i="112" s="1"/>
  <c r="D26" i="112"/>
  <c r="D25" i="112"/>
  <c r="D24" i="112"/>
  <c r="D23" i="112"/>
  <c r="D22" i="112"/>
  <c r="D21" i="112"/>
  <c r="D20" i="112"/>
  <c r="D19" i="112"/>
  <c r="D18" i="112"/>
  <c r="D17" i="112"/>
  <c r="D16" i="112"/>
  <c r="D15" i="112"/>
  <c r="D14" i="112"/>
  <c r="D13" i="112"/>
  <c r="D12" i="112"/>
  <c r="D11" i="112"/>
  <c r="D10" i="112"/>
  <c r="D7" i="112"/>
  <c r="D6" i="112"/>
  <c r="D5" i="112"/>
  <c r="B5" i="112"/>
  <c r="A5" i="112"/>
  <c r="D4" i="112"/>
  <c r="A6" i="112" l="1"/>
  <c r="A24" i="111"/>
  <c r="A23" i="111" l="1"/>
  <c r="D4" i="111" l="1"/>
  <c r="D5" i="111"/>
  <c r="D6" i="111"/>
  <c r="D7" i="111"/>
  <c r="A22" i="111"/>
  <c r="D26" i="111"/>
  <c r="D25" i="111"/>
  <c r="D24" i="111"/>
  <c r="D23" i="111"/>
  <c r="A21" i="111" l="1"/>
  <c r="A20" i="111"/>
  <c r="D22" i="111"/>
  <c r="A19" i="111" l="1"/>
  <c r="A18" i="111" l="1"/>
  <c r="A17" i="111" l="1"/>
  <c r="A16" i="111" l="1"/>
  <c r="A15" i="111" l="1"/>
  <c r="A14" i="111" l="1"/>
  <c r="A13" i="111"/>
  <c r="A12" i="111"/>
  <c r="A11" i="111" l="1"/>
  <c r="A10" i="111"/>
  <c r="A4" i="111"/>
  <c r="B4" i="111" s="1"/>
  <c r="D21" i="111"/>
  <c r="D20" i="111"/>
  <c r="D19" i="111"/>
  <c r="D18" i="111"/>
  <c r="D17" i="111"/>
  <c r="D16" i="111"/>
  <c r="D15" i="111"/>
  <c r="D14" i="111"/>
  <c r="D13" i="111"/>
  <c r="D12" i="111"/>
  <c r="D11" i="111"/>
  <c r="D10" i="111"/>
  <c r="B5" i="111"/>
  <c r="A5" i="111"/>
  <c r="A6" i="111" l="1"/>
  <c r="A15" i="110"/>
  <c r="A14" i="110"/>
  <c r="A13" i="110" l="1"/>
  <c r="A12" i="110"/>
  <c r="A11" i="110" l="1"/>
  <c r="A10" i="110"/>
  <c r="A4" i="110"/>
  <c r="B4" i="110" s="1"/>
  <c r="D21" i="110"/>
  <c r="D20" i="110"/>
  <c r="D19" i="110"/>
  <c r="D18" i="110"/>
  <c r="D17" i="110"/>
  <c r="D16" i="110"/>
  <c r="D15" i="110"/>
  <c r="D14" i="110"/>
  <c r="D13" i="110"/>
  <c r="D12" i="110"/>
  <c r="D7" i="110" s="1"/>
  <c r="D11" i="110"/>
  <c r="D10" i="110"/>
  <c r="D6" i="110"/>
  <c r="D5" i="110"/>
  <c r="B5" i="110"/>
  <c r="A5" i="110"/>
  <c r="D4" i="110"/>
  <c r="A6" i="110" l="1"/>
  <c r="D6" i="90"/>
  <c r="D21" i="90" l="1"/>
  <c r="D20" i="90"/>
  <c r="D19" i="90"/>
  <c r="D18" i="90"/>
  <c r="D17" i="90"/>
  <c r="D16" i="90"/>
  <c r="D15" i="90"/>
  <c r="D14" i="90"/>
  <c r="D13" i="90"/>
  <c r="D12" i="90"/>
  <c r="D11" i="90"/>
  <c r="D10" i="90"/>
  <c r="D7" i="90"/>
  <c r="D5" i="90"/>
  <c r="B5" i="90"/>
  <c r="A5" i="90"/>
  <c r="D4" i="90"/>
  <c r="B4" i="90"/>
  <c r="A4" i="90"/>
  <c r="A6" i="90" l="1"/>
  <c r="E5" i="90"/>
  <c r="E6" i="90"/>
  <c r="E6" i="110" s="1"/>
  <c r="E6" i="111" s="1"/>
  <c r="E7" i="90"/>
  <c r="E7" i="110"/>
  <c r="E7" i="111"/>
  <c r="E7" i="112" s="1"/>
  <c r="E7" i="113" s="1"/>
  <c r="E7" i="114" s="1"/>
  <c r="E4" i="90"/>
  <c r="E4" i="110" s="1"/>
  <c r="B6" i="90"/>
  <c r="B6" i="110"/>
  <c r="B6" i="111" s="1"/>
  <c r="B6" i="112" s="1"/>
  <c r="B6" i="113"/>
  <c r="E4" i="111"/>
  <c r="E6" i="112"/>
  <c r="E6" i="113" s="1"/>
  <c r="E5" i="110"/>
  <c r="E5" i="111" s="1"/>
  <c r="E5" i="112" s="1"/>
  <c r="E5" i="113" s="1"/>
  <c r="E5" i="114"/>
  <c r="E4" i="112"/>
  <c r="E4" i="113" s="1"/>
  <c r="B6" i="114"/>
  <c r="E6" i="114"/>
  <c r="E4" i="114"/>
</calcChain>
</file>

<file path=xl/sharedStrings.xml><?xml version="1.0" encoding="utf-8"?>
<sst xmlns="http://schemas.openxmlformats.org/spreadsheetml/2006/main" count="175" uniqueCount="66">
  <si>
    <t>Fra dato</t>
  </si>
  <si>
    <t>Til dato</t>
  </si>
  <si>
    <t>Type arbeid</t>
  </si>
  <si>
    <t>Timer per type arbeid</t>
  </si>
  <si>
    <t>Timer totalt brukt</t>
  </si>
  <si>
    <t>Teori</t>
  </si>
  <si>
    <t>Utvikling</t>
  </si>
  <si>
    <t>Administrativt</t>
  </si>
  <si>
    <t>Logg/oppgaver</t>
  </si>
  <si>
    <t>Dato</t>
  </si>
  <si>
    <t>Starttidspunkt</t>
  </si>
  <si>
    <t>Sluttidspunkt</t>
  </si>
  <si>
    <t>Antall timer</t>
  </si>
  <si>
    <t>Type arbeid: forklaring</t>
  </si>
  <si>
    <t>Oppsummering</t>
  </si>
  <si>
    <t>Timeliste - Alexander Johnsen - Uke 4</t>
  </si>
  <si>
    <t>Itemnr #</t>
  </si>
  <si>
    <t>Timeliste - Alexander Johnsen - Uke N</t>
  </si>
  <si>
    <t>Administrativt: Møte med veiledere</t>
  </si>
  <si>
    <t>Oppgaver: Skrive møtereferat</t>
  </si>
  <si>
    <t>Oppgaver: Levering, sjekke AWS og Azure</t>
  </si>
  <si>
    <t>Oppgaver: Skrive Samarbeidsavtale</t>
  </si>
  <si>
    <t>Administrativt: Forberede på mandags møte</t>
  </si>
  <si>
    <t>Administrativt:  Forberede til mandagsmøte</t>
  </si>
  <si>
    <t>Timeliste - Alexander Johnsen - Uke 5</t>
  </si>
  <si>
    <t>Administrativt: Møte med bedrift</t>
  </si>
  <si>
    <t>Oppgaver: Forprosjekt, lage telegram gruppe</t>
  </si>
  <si>
    <t>Oppgaver: Gant-diagram</t>
  </si>
  <si>
    <t>Teori: Gant diagram og undersøke på Blazor som rammeverk</t>
  </si>
  <si>
    <t>Teori: Tester ut om mulig å få tak i Prosject Office</t>
  </si>
  <si>
    <t>Oppgaver: Forprosjekt</t>
  </si>
  <si>
    <t>Administrativt: Kort møte med veiledere</t>
  </si>
  <si>
    <t>Oppgaver: Gant-diagram i Project Pref..</t>
  </si>
  <si>
    <t>Logg: Notere ned til sammendrag</t>
  </si>
  <si>
    <t>Oppgaver: Ferdigstille gant-diagram</t>
  </si>
  <si>
    <t>2</t>
  </si>
  <si>
    <t>Oppgaver: Levere Forprosjekt</t>
  </si>
  <si>
    <t>Oppgaver: Kravspefikasjon</t>
  </si>
  <si>
    <t>8</t>
  </si>
  <si>
    <t>Oppgaver: Kalle inn møteivintasjon og kravspex</t>
  </si>
  <si>
    <t>Timeliste - Alexander Johnsen - Uke 6</t>
  </si>
  <si>
    <t>Oppgaver: Forberede til møte og kravspec</t>
  </si>
  <si>
    <t>Administrativt: Formelt møte 1</t>
  </si>
  <si>
    <t>Oppgaver: Forprosjekt, møtereferat, kravspec</t>
  </si>
  <si>
    <t>Oppgaver: Klassediagram</t>
  </si>
  <si>
    <t xml:space="preserve">Administrativt: Møte med Fly lavt. </t>
  </si>
  <si>
    <t>Oppgaver: Følge opp spørsmål fra møtet</t>
  </si>
  <si>
    <t>Administrativt: Avtale med bedrift og studentene</t>
  </si>
  <si>
    <t>Timeliste - Alexander Johnsen - Uke 7</t>
  </si>
  <si>
    <t>Teori: Ser på Blazor</t>
  </si>
  <si>
    <t>Teori: Blazor</t>
  </si>
  <si>
    <t>Administrativt: Kanban-møte</t>
  </si>
  <si>
    <t>N/A</t>
  </si>
  <si>
    <t>Timeliste - Alexander Johnsen - Uke 8</t>
  </si>
  <si>
    <t>Administrativt: Grupperom&amp;møteinkalling</t>
  </si>
  <si>
    <t>Oppgaver: Signaturer og forsprosjekt oppdatering</t>
  </si>
  <si>
    <t>Utvikling: Starte opp prosjektet</t>
  </si>
  <si>
    <t>Administrativt: Møte</t>
  </si>
  <si>
    <t>Utvikling: Klasse, Database, Migrering</t>
  </si>
  <si>
    <t>Teori: Excel - Lisenser</t>
  </si>
  <si>
    <t>Oppgaver: Scanne &amp; Oppdatere f.prosjekt</t>
  </si>
  <si>
    <t>Teori: Blazor, closedXML, .NET 5</t>
  </si>
  <si>
    <t>Administrativt: Omstruktur av item</t>
  </si>
  <si>
    <t>Utvikling: Legge til Componentype</t>
  </si>
  <si>
    <t>2.0</t>
  </si>
  <si>
    <t>Teori: Blazortips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</si>
</sst>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800]dddd\,\ mmmm\ dd\,\ yyyy"/>
    <numFmt numFmtId="165" formatCode="yyyy\-mm\-dd;@"/>
    <numFmt numFmtId="166" formatCode="hh:mm;@"/>
    <numFmt numFmtId="167" formatCode="[hh]:mm"/>
    <numFmt numFmtId="168" formatCode="[$-414]yyyy\-mm\-dd\ ddd\/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7" tint="0.39994506668294322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/>
      <right style="thin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ck">
        <color theme="1"/>
      </top>
      <bottom style="double">
        <color indexed="64"/>
      </bottom>
      <diagonal/>
    </border>
    <border>
      <left/>
      <right/>
      <top style="thick">
        <color theme="1"/>
      </top>
      <bottom style="double">
        <color theme="1"/>
      </bottom>
      <diagonal/>
    </border>
    <border>
      <left/>
      <right style="medium">
        <color theme="1"/>
      </right>
      <top style="thin">
        <color theme="8" tint="0.59999389629810485"/>
      </top>
      <bottom style="thin">
        <color theme="8" tint="0.59999389629810485"/>
      </bottom>
      <diagonal/>
    </border>
    <border>
      <left style="medium">
        <color theme="1"/>
      </left>
      <right/>
      <top style="thin">
        <color theme="8" tint="0.59999389629810485"/>
      </top>
      <bottom style="thin">
        <color theme="8" tint="0.59999389629810485"/>
      </bottom>
      <diagonal/>
    </border>
    <border>
      <left style="medium">
        <color theme="1"/>
      </left>
      <right/>
      <top style="medium">
        <color indexed="64"/>
      </top>
      <bottom style="thin">
        <color theme="8" tint="0.59999389629810485"/>
      </bottom>
      <diagonal/>
    </border>
    <border>
      <left style="thin">
        <color theme="1"/>
      </left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theme="8" tint="0.59999389629810485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4" tint="0.39997558519241921"/>
      </top>
      <bottom style="thin">
        <color theme="8" tint="0.59999389629810485"/>
      </bottom>
      <diagonal/>
    </border>
    <border>
      <left style="thin">
        <color theme="1"/>
      </left>
      <right style="thin">
        <color theme="1"/>
      </right>
      <top/>
      <bottom style="thin">
        <color theme="8" tint="0.59999389629810485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dotted">
        <color indexed="64"/>
      </right>
      <top style="thick">
        <color theme="1"/>
      </top>
      <bottom style="double">
        <color indexed="64"/>
      </bottom>
      <diagonal/>
    </border>
    <border>
      <left style="dotted">
        <color indexed="64"/>
      </left>
      <right/>
      <top style="thick">
        <color theme="1"/>
      </top>
      <bottom style="double">
        <color indexed="64"/>
      </bottom>
      <diagonal/>
    </border>
    <border>
      <left/>
      <right style="medium">
        <color theme="1"/>
      </right>
      <top style="thick">
        <color theme="1"/>
      </top>
      <bottom style="double">
        <color theme="1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Border="1"/>
    <xf numFmtId="0" fontId="1" fillId="6" borderId="2" xfId="0" applyFont="1" applyFill="1" applyBorder="1" applyAlignment="1">
      <alignment horizontal="center"/>
    </xf>
    <xf numFmtId="0" fontId="0" fillId="8" borderId="4" xfId="0" applyFill="1" applyBorder="1"/>
    <xf numFmtId="166" fontId="0" fillId="0" borderId="0" xfId="0" applyNumberFormat="1" applyBorder="1" applyAlignment="1">
      <alignment horizontal="center"/>
    </xf>
    <xf numFmtId="0" fontId="0" fillId="8" borderId="13" xfId="0" applyFill="1" applyBorder="1"/>
    <xf numFmtId="0" fontId="1" fillId="6" borderId="12" xfId="0" applyFont="1" applyFill="1" applyBorder="1" applyAlignment="1">
      <alignment horizontal="center"/>
    </xf>
    <xf numFmtId="0" fontId="4" fillId="0" borderId="5" xfId="0" applyFont="1" applyBorder="1"/>
    <xf numFmtId="0" fontId="0" fillId="8" borderId="1" xfId="0" applyFill="1" applyBorder="1"/>
    <xf numFmtId="0" fontId="0" fillId="0" borderId="21" xfId="0" applyBorder="1" applyAlignment="1">
      <alignment horizontal="center"/>
    </xf>
    <xf numFmtId="0" fontId="3" fillId="4" borderId="22" xfId="0" applyFont="1" applyFill="1" applyBorder="1" applyAlignment="1"/>
    <xf numFmtId="0" fontId="0" fillId="4" borderId="23" xfId="0" applyFill="1" applyBorder="1"/>
    <xf numFmtId="0" fontId="1" fillId="6" borderId="27" xfId="0" applyFont="1" applyFill="1" applyBorder="1" applyAlignment="1">
      <alignment horizontal="center"/>
    </xf>
    <xf numFmtId="0" fontId="1" fillId="6" borderId="28" xfId="0" applyFont="1" applyFill="1" applyBorder="1" applyAlignment="1">
      <alignment horizontal="center"/>
    </xf>
    <xf numFmtId="0" fontId="0" fillId="9" borderId="29" xfId="0" applyFont="1" applyFill="1" applyBorder="1" applyAlignment="1"/>
    <xf numFmtId="0" fontId="0" fillId="0" borderId="30" xfId="0" applyFont="1" applyFill="1" applyBorder="1" applyAlignment="1"/>
    <xf numFmtId="0" fontId="0" fillId="9" borderId="31" xfId="0" applyFont="1" applyFill="1" applyBorder="1" applyAlignment="1"/>
    <xf numFmtId="0" fontId="0" fillId="9" borderId="31" xfId="0" applyFill="1" applyBorder="1" applyAlignment="1"/>
    <xf numFmtId="0" fontId="0" fillId="0" borderId="30" xfId="0" applyBorder="1" applyAlignment="1"/>
    <xf numFmtId="0" fontId="0" fillId="0" borderId="32" xfId="0" applyBorder="1" applyAlignment="1"/>
    <xf numFmtId="0" fontId="0" fillId="8" borderId="35" xfId="0" applyFill="1" applyBorder="1"/>
    <xf numFmtId="0" fontId="3" fillId="4" borderId="36" xfId="0" applyFont="1" applyFill="1" applyBorder="1" applyAlignment="1">
      <alignment horizontal="left"/>
    </xf>
    <xf numFmtId="0" fontId="3" fillId="4" borderId="37" xfId="0" applyFont="1" applyFill="1" applyBorder="1" applyAlignment="1">
      <alignment horizontal="center"/>
    </xf>
    <xf numFmtId="0" fontId="0" fillId="4" borderId="38" xfId="0" applyFill="1" applyBorder="1"/>
    <xf numFmtId="167" fontId="2" fillId="0" borderId="0" xfId="0" applyNumberFormat="1" applyFont="1" applyBorder="1" applyAlignment="1">
      <alignment horizontal="center"/>
    </xf>
    <xf numFmtId="167" fontId="2" fillId="0" borderId="20" xfId="0" applyNumberFormat="1" applyFont="1" applyBorder="1" applyAlignment="1">
      <alignment horizontal="center"/>
    </xf>
    <xf numFmtId="167" fontId="0" fillId="0" borderId="3" xfId="0" applyNumberFormat="1" applyBorder="1" applyAlignment="1">
      <alignment horizontal="center"/>
    </xf>
    <xf numFmtId="167" fontId="0" fillId="0" borderId="17" xfId="0" applyNumberFormat="1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0" fontId="2" fillId="3" borderId="9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wrapText="1"/>
    </xf>
    <xf numFmtId="0" fontId="2" fillId="3" borderId="6" xfId="0" applyFont="1" applyFill="1" applyBorder="1" applyAlignment="1">
      <alignment horizontal="center" wrapText="1"/>
    </xf>
    <xf numFmtId="0" fontId="2" fillId="3" borderId="8" xfId="0" applyFont="1" applyFill="1" applyBorder="1" applyAlignment="1">
      <alignment horizontal="center" wrapText="1"/>
    </xf>
    <xf numFmtId="0" fontId="2" fillId="3" borderId="18" xfId="0" applyFont="1" applyFill="1" applyBorder="1" applyAlignment="1">
      <alignment horizontal="center" wrapText="1"/>
    </xf>
    <xf numFmtId="164" fontId="5" fillId="5" borderId="4" xfId="0" applyNumberFormat="1" applyFont="1" applyFill="1" applyBorder="1" applyAlignment="1">
      <alignment horizontal="center" wrapText="1"/>
    </xf>
    <xf numFmtId="164" fontId="5" fillId="5" borderId="10" xfId="0" applyNumberFormat="1" applyFont="1" applyFill="1" applyBorder="1" applyAlignment="1">
      <alignment horizontal="center" wrapText="1"/>
    </xf>
    <xf numFmtId="168" fontId="0" fillId="7" borderId="26" xfId="0" applyNumberFormat="1" applyFont="1" applyFill="1" applyBorder="1" applyAlignment="1">
      <alignment horizontal="left"/>
    </xf>
    <xf numFmtId="168" fontId="0" fillId="0" borderId="12" xfId="0" applyNumberFormat="1" applyFont="1" applyBorder="1" applyAlignment="1">
      <alignment horizontal="left"/>
    </xf>
    <xf numFmtId="168" fontId="0" fillId="7" borderId="25" xfId="0" applyNumberFormat="1" applyFont="1" applyFill="1" applyBorder="1" applyAlignment="1">
      <alignment horizontal="left"/>
    </xf>
    <xf numFmtId="168" fontId="0" fillId="9" borderId="25" xfId="0" applyNumberFormat="1" applyFill="1" applyBorder="1" applyAlignment="1">
      <alignment horizontal="left"/>
    </xf>
    <xf numFmtId="49" fontId="0" fillId="9" borderId="24" xfId="0" applyNumberFormat="1" applyFill="1" applyBorder="1" applyAlignment="1"/>
    <xf numFmtId="49" fontId="0" fillId="0" borderId="14" xfId="0" applyNumberFormat="1" applyBorder="1"/>
    <xf numFmtId="168" fontId="0" fillId="0" borderId="12" xfId="0" applyNumberFormat="1" applyBorder="1" applyAlignment="1">
      <alignment horizontal="left"/>
    </xf>
    <xf numFmtId="168" fontId="0" fillId="0" borderId="25" xfId="0" applyNumberFormat="1" applyBorder="1" applyAlignment="1">
      <alignment horizontal="left"/>
    </xf>
    <xf numFmtId="168" fontId="0" fillId="0" borderId="15" xfId="0" applyNumberFormat="1" applyBorder="1" applyAlignment="1">
      <alignment horizontal="left"/>
    </xf>
    <xf numFmtId="167" fontId="0" fillId="7" borderId="29" xfId="0" applyNumberFormat="1" applyFont="1" applyFill="1" applyBorder="1" applyAlignment="1">
      <alignment horizontal="center"/>
    </xf>
    <xf numFmtId="167" fontId="0" fillId="0" borderId="30" xfId="0" applyNumberFormat="1" applyFont="1" applyBorder="1" applyAlignment="1">
      <alignment horizontal="center"/>
    </xf>
    <xf numFmtId="167" fontId="0" fillId="7" borderId="31" xfId="0" applyNumberFormat="1" applyFont="1" applyFill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67" fontId="0" fillId="9" borderId="31" xfId="0" applyNumberFormat="1" applyFill="1" applyBorder="1" applyAlignment="1">
      <alignment horizontal="center"/>
    </xf>
    <xf numFmtId="167" fontId="0" fillId="0" borderId="32" xfId="0" applyNumberFormat="1" applyBorder="1"/>
    <xf numFmtId="167" fontId="0" fillId="0" borderId="33" xfId="0" applyNumberFormat="1" applyFont="1" applyFill="1" applyBorder="1" applyAlignment="1">
      <alignment horizontal="center"/>
    </xf>
    <xf numFmtId="167" fontId="0" fillId="0" borderId="34" xfId="0" applyNumberFormat="1" applyFont="1" applyFill="1" applyBorder="1" applyAlignment="1">
      <alignment horizontal="center"/>
    </xf>
    <xf numFmtId="167" fontId="0" fillId="0" borderId="32" xfId="0" applyNumberFormat="1" applyFont="1" applyFill="1" applyBorder="1" applyAlignment="1">
      <alignment horizontal="center"/>
    </xf>
    <xf numFmtId="165" fontId="0" fillId="0" borderId="19" xfId="0" applyNumberForma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10" borderId="5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 vertical="center"/>
    </xf>
    <xf numFmtId="0" fontId="2" fillId="11" borderId="5" xfId="0" applyFont="1" applyFill="1" applyBorder="1" applyAlignment="1">
      <alignment horizontal="center"/>
    </xf>
    <xf numFmtId="0" fontId="2" fillId="12" borderId="5" xfId="0" applyFont="1" applyFill="1" applyBorder="1" applyAlignment="1">
      <alignment horizontal="center"/>
    </xf>
    <xf numFmtId="49" fontId="0" fillId="0" borderId="16" xfId="0" applyNumberFormat="1" applyBorder="1"/>
    <xf numFmtId="167" fontId="0" fillId="0" borderId="32" xfId="0" applyNumberFormat="1" applyBorder="1" applyAlignment="1">
      <alignment horizontal="center"/>
    </xf>
  </cellXfs>
  <cellStyles count="1">
    <cellStyle name="Normal" xfId="0" builtinId="0"/>
  </cellStyles>
  <dxfs count="386">
    <dxf>
      <fill>
        <patternFill>
          <bgColor theme="4" tint="0.79998168889431442"/>
        </patternFill>
      </fill>
    </dxf>
    <dxf>
      <numFmt numFmtId="169" formatCode="0;0;;@"/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numFmt numFmtId="169" formatCode="0;0;;@"/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numFmt numFmtId="169" formatCode="0;0;;@"/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numFmt numFmtId="169" formatCode="0;0;;@"/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numFmt numFmtId="169" formatCode="0;0;;@"/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numFmt numFmtId="169" formatCode="0;0;;@"/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numFmt numFmtId="169" formatCode="0;0;;@"/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numFmt numFmtId="169" formatCode="0;0;;@"/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numFmt numFmtId="169" formatCode="0;0;;@"/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numFmt numFmtId="169" formatCode="0;0;;@"/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numFmt numFmtId="169" formatCode="0;0;;@"/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numFmt numFmtId="169" formatCode="0;0;;@"/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numFmt numFmtId="169" formatCode="0;0;;@"/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numFmt numFmtId="169" formatCode="0;0;;@"/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numFmt numFmtId="169" formatCode="0;0;;@"/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numFmt numFmtId="169" formatCode="0;0;;@"/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numFmt numFmtId="169" formatCode="0;0;;@"/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numFmt numFmtId="169" formatCode="0;0;;@"/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22</xdr:row>
      <xdr:rowOff>1008</xdr:rowOff>
    </xdr:from>
    <xdr:ext cx="7547429" cy="940909"/>
    <xdr:sp macro="" textlink="">
      <xdr:nvSpPr>
        <xdr:cNvPr id="2" name="TekstSylinder 1">
          <a:extLst>
            <a:ext uri="{FF2B5EF4-FFF2-40B4-BE49-F238E27FC236}">
              <a16:creationId xmlns:a16="http://schemas.microsoft.com/office/drawing/2014/main" id="{9DE091A4-7E18-664B-BDBE-ABEE0A121687}"/>
            </a:ext>
          </a:extLst>
        </xdr:cNvPr>
        <xdr:cNvSpPr txBox="1"/>
      </xdr:nvSpPr>
      <xdr:spPr>
        <a:xfrm>
          <a:off x="0" y="4754437"/>
          <a:ext cx="7547429" cy="940909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nb-NO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22</xdr:row>
      <xdr:rowOff>1008</xdr:rowOff>
    </xdr:from>
    <xdr:ext cx="7547429" cy="2284992"/>
    <xdr:sp macro="" textlink="">
      <xdr:nvSpPr>
        <xdr:cNvPr id="2" name="TekstSylinder 1">
          <a:extLst>
            <a:ext uri="{FF2B5EF4-FFF2-40B4-BE49-F238E27FC236}">
              <a16:creationId xmlns:a16="http://schemas.microsoft.com/office/drawing/2014/main" id="{0A9536DC-284F-41F9-B348-F0F0469C1B0F}"/>
            </a:ext>
          </a:extLst>
        </xdr:cNvPr>
        <xdr:cNvSpPr txBox="1"/>
      </xdr:nvSpPr>
      <xdr:spPr>
        <a:xfrm>
          <a:off x="0" y="4790722"/>
          <a:ext cx="7547429" cy="2284992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nb-NO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Uke 4</a:t>
          </a:r>
        </a:p>
        <a:p>
          <a:endParaRPr lang="nb-NO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Mandag: Startet dagen med innledene møte med veiledere og gikk igjennom noen punkter. Komment fram med at vi bør se etter noen rammeverk eller flere oppgaver</a:t>
          </a: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vi kan løse. Blant annen med å lage app eller gjøre klart til mobilgrensesnitt. 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Tirsdag: Levere inn møteagenda, se over over fiks. </a:t>
          </a:r>
        </a:p>
        <a:p>
          <a:endParaRPr lang="nb-NO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Fredagen: Skrive ferdig Samarbeidsavtale,</a:t>
          </a: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gå igjennom avtalen med gruppen for å se om alle godkjenner den. 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Søndag: Catch up med Mats-Erik før møtet med Fly Lavt mandag. </a:t>
          </a:r>
        </a:p>
        <a:p>
          <a:endParaRPr lang="nb-NO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27</xdr:row>
      <xdr:rowOff>1007</xdr:rowOff>
    </xdr:from>
    <xdr:ext cx="7547429" cy="4561921"/>
    <xdr:sp macro="" textlink="">
      <xdr:nvSpPr>
        <xdr:cNvPr id="2" name="TekstSylinder 1">
          <a:extLst>
            <a:ext uri="{FF2B5EF4-FFF2-40B4-BE49-F238E27FC236}">
              <a16:creationId xmlns:a16="http://schemas.microsoft.com/office/drawing/2014/main" id="{96F4C0A7-E5A1-4C8C-948C-D0C8593EE53E}"/>
            </a:ext>
          </a:extLst>
        </xdr:cNvPr>
        <xdr:cNvSpPr txBox="1"/>
      </xdr:nvSpPr>
      <xdr:spPr>
        <a:xfrm>
          <a:off x="0" y="5793114"/>
          <a:ext cx="7547429" cy="4561921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nb-NO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Uke 5</a:t>
          </a:r>
        </a:p>
        <a:p>
          <a:endParaRPr lang="nb-NO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Mandag:</a:t>
          </a:r>
          <a:r>
            <a:rPr lang="nb-NO" sz="11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Startet dagen med å ha zoom møte med Magnus og Sten fra fly lavt, vi gikk gjennom par spørsmål og disktuere litt om</a:t>
          </a: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hvordan man så for seg for struktur over database for oppgaven. Han gjennomgikk også hvordan dagens løsning dem har gjort så langt på papir. 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Etter møtet har vi satte oss ned for å gå igjennom det som har blitt sagt under møtet. Fortsatte å fylle inn de nødvendige data til forprosjektet som vi har fått opplysning til fra møtet.  Laget også en telegram gruppe som vi kan kontakte og ha kommunikasjon utenom mailer. </a:t>
          </a:r>
        </a:p>
        <a:p>
          <a:endParaRPr lang="nb-NO" sz="1100" b="1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Tirsdag:</a:t>
          </a:r>
          <a:r>
            <a:rPr lang="nb-NO" sz="11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Jeg har jobbet litt med å fylle inn flere punkter til forprosjektet, har hatt møte med veiledere og spurte en del spørsmål. </a:t>
          </a:r>
          <a:b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Vi i gruppen har også blitt enige med å gå for Blazor som rammeverk for prosjektet. </a:t>
          </a: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Fikk lastet ned Project Professional for å lage en GANT-diagra/fremdriftplan. Jeg kom selv litt seint igang med å få fullført idag. Skal gjøre ferdig nestedag og skal gå igjennom med gruppen for estimere tidsbruk og pusse på punktene. 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Onsdag: </a:t>
          </a: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Satt å jobbet med å få på plass gantt-diagram. Så levere forprosjektet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Helg:</a:t>
          </a:r>
          <a:r>
            <a:rPr lang="nb-NO" sz="11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Startet opp med å skrive kravspefikasjon og kalle inn møte til formelt møte 1. </a:t>
          </a:r>
          <a:endParaRPr lang="nb-NO" sz="1100" b="1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27</xdr:row>
      <xdr:rowOff>1008</xdr:rowOff>
    </xdr:from>
    <xdr:ext cx="7547429" cy="3201206"/>
    <xdr:sp macro="" textlink="">
      <xdr:nvSpPr>
        <xdr:cNvPr id="2" name="TekstSylinder 1">
          <a:extLst>
            <a:ext uri="{FF2B5EF4-FFF2-40B4-BE49-F238E27FC236}">
              <a16:creationId xmlns:a16="http://schemas.microsoft.com/office/drawing/2014/main" id="{C8CA2BB5-D7F3-4F29-88F8-ECAABFECD0E8}"/>
            </a:ext>
          </a:extLst>
        </xdr:cNvPr>
        <xdr:cNvSpPr txBox="1"/>
      </xdr:nvSpPr>
      <xdr:spPr>
        <a:xfrm>
          <a:off x="0" y="5773158"/>
          <a:ext cx="7547429" cy="3201206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nb-NO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Uke 6</a:t>
          </a:r>
        </a:p>
        <a:p>
          <a:r>
            <a:rPr lang="nb-NO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Gruppeleder:</a:t>
          </a:r>
          <a:r>
            <a:rPr lang="nb-NO" sz="11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Anders</a:t>
          </a:r>
        </a:p>
        <a:p>
          <a:r>
            <a:rPr lang="nb-NO" sz="11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Møtereferat: Alexander</a:t>
          </a:r>
          <a:endParaRPr lang="nb-NO" sz="1100" b="1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nb-NO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Mandag: </a:t>
          </a: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Lagt inn en del mer data i kravspefikasjon, prøve å fylle inn mest mulig stoff før vi går igjennom med FLy lavt på møte. 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Tirsdag:</a:t>
          </a: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Formelt møte med veileder. Foresport Magnus om ny møte. Rette opp noe saker i forprosjekt,  gikse på gantt-diagram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nb-NO" sz="1100" b="1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27</xdr:row>
      <xdr:rowOff>1008</xdr:rowOff>
    </xdr:from>
    <xdr:ext cx="7547429" cy="3201206"/>
    <xdr:sp macro="" textlink="">
      <xdr:nvSpPr>
        <xdr:cNvPr id="2" name="TekstSylinder 1">
          <a:extLst>
            <a:ext uri="{FF2B5EF4-FFF2-40B4-BE49-F238E27FC236}">
              <a16:creationId xmlns:a16="http://schemas.microsoft.com/office/drawing/2014/main" id="{F27256F7-B119-4A16-B76C-9919DFF33520}"/>
            </a:ext>
          </a:extLst>
        </xdr:cNvPr>
        <xdr:cNvSpPr txBox="1"/>
      </xdr:nvSpPr>
      <xdr:spPr>
        <a:xfrm>
          <a:off x="0" y="5773158"/>
          <a:ext cx="7547429" cy="3201206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nb-NO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Uke 7</a:t>
          </a:r>
        </a:p>
        <a:p>
          <a:r>
            <a:rPr lang="nb-NO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Gruppeleder:</a:t>
          </a:r>
          <a:r>
            <a:rPr lang="nb-NO" sz="11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Alexander</a:t>
          </a:r>
        </a:p>
        <a:p>
          <a:r>
            <a:rPr lang="nb-NO" sz="11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Møtereferat: Mats-Erik</a:t>
          </a:r>
          <a:endParaRPr lang="nb-NO" sz="1100" b="1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nb-NO" sz="1100" b="1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</a:t>
          </a: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er jeg blitt gruppeleder no i tre uker frammover til å med uke 10. 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Jobbet med kravspefikasjon, fikset litt på sidetall på Word. </a:t>
          </a:r>
          <a:endParaRPr lang="nb-NO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27</xdr:row>
      <xdr:rowOff>1008</xdr:rowOff>
    </xdr:from>
    <xdr:ext cx="7547429" cy="3201206"/>
    <xdr:sp macro="" textlink="">
      <xdr:nvSpPr>
        <xdr:cNvPr id="2" name="TekstSylinder 1">
          <a:extLst>
            <a:ext uri="{FF2B5EF4-FFF2-40B4-BE49-F238E27FC236}">
              <a16:creationId xmlns:a16="http://schemas.microsoft.com/office/drawing/2014/main" id="{0BD18990-3E18-439E-876F-BDF39E1501E4}"/>
            </a:ext>
          </a:extLst>
        </xdr:cNvPr>
        <xdr:cNvSpPr txBox="1"/>
      </xdr:nvSpPr>
      <xdr:spPr>
        <a:xfrm>
          <a:off x="0" y="5773158"/>
          <a:ext cx="7547429" cy="3201206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nb-NO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Uke 8</a:t>
          </a:r>
        </a:p>
        <a:p>
          <a:r>
            <a:rPr lang="nb-NO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Gruppeleder:</a:t>
          </a:r>
          <a:r>
            <a:rPr lang="nb-NO" sz="11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Alexander</a:t>
          </a:r>
        </a:p>
        <a:p>
          <a:r>
            <a:rPr lang="nb-NO" sz="11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Møtereferat: Mats-Erik</a:t>
          </a:r>
          <a:endParaRPr lang="nb-NO" sz="1100" b="1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nb-NO" sz="1100" b="1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Mandag:</a:t>
          </a:r>
        </a:p>
        <a:p>
          <a:r>
            <a:rPr lang="nb-NO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Siden</a:t>
          </a: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tidspunktet ikke passet først på tirsdag formiddag, måtte finne en annen grupperom og ny tidspunkt. Sendt ut ny info. </a:t>
          </a: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Samlet inn de nødvendige signaturer for avtalenee og sendte til FlyLavt med endelige resultatuet. </a:t>
          </a:r>
        </a:p>
        <a:p>
          <a:endParaRPr lang="nb-NO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Jeg og Anders satt ned å fylte</a:t>
          </a: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inn klassene og migrere klassene til databasen. Justerer noen endringer og finpusse av retteverdiene kommer på plass om DeafaultValue og kan ikke være null ovs. 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Tirsdag: </a:t>
          </a:r>
        </a:p>
        <a:p>
          <a:endParaRPr lang="nb-NO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1D3DE-DDE8-D84B-9FC7-D0A68AD64507}">
  <sheetPr codeName="Sheet5">
    <pageSetUpPr fitToPage="1"/>
  </sheetPr>
  <dimension ref="A1:F27"/>
  <sheetViews>
    <sheetView zoomScale="140" zoomScaleNormal="140" workbookViewId="0"/>
  </sheetViews>
  <sheetFormatPr baseColWidth="10" defaultColWidth="11.5" defaultRowHeight="15" x14ac:dyDescent="0.2"/>
  <cols>
    <col min="1" max="1" width="17.6640625" customWidth="1"/>
    <col min="2" max="2" width="18.6640625" customWidth="1"/>
    <col min="3" max="3" width="12" customWidth="1"/>
    <col min="4" max="4" width="14.6640625" customWidth="1"/>
    <col min="5" max="5" width="25.6640625" customWidth="1"/>
    <col min="6" max="6" width="9.6640625" customWidth="1"/>
  </cols>
  <sheetData>
    <row r="1" spans="1:6" ht="26" thickTop="1" thickBot="1" x14ac:dyDescent="0.35">
      <c r="A1" s="21" t="s">
        <v>17</v>
      </c>
      <c r="B1" s="10"/>
      <c r="C1" s="22"/>
      <c r="D1" s="11"/>
      <c r="E1" s="11"/>
      <c r="F1" s="23"/>
    </row>
    <row r="2" spans="1:6" ht="17" thickTop="1" thickBot="1" x14ac:dyDescent="0.25"/>
    <row r="3" spans="1:6" ht="33" thickBot="1" x14ac:dyDescent="0.25">
      <c r="A3" s="31" t="s">
        <v>0</v>
      </c>
      <c r="B3" s="30" t="s">
        <v>1</v>
      </c>
      <c r="C3" s="33" t="s">
        <v>2</v>
      </c>
      <c r="D3" s="32" t="s">
        <v>3</v>
      </c>
      <c r="E3" s="29" t="s">
        <v>4</v>
      </c>
    </row>
    <row r="4" spans="1:6" ht="16" thickBot="1" x14ac:dyDescent="0.25">
      <c r="A4" s="35">
        <f>DATE(2020,1,20)</f>
        <v>43850</v>
      </c>
      <c r="B4" s="34">
        <f>DATE(2020,1,26)</f>
        <v>43856</v>
      </c>
      <c r="C4" s="56" t="s">
        <v>5</v>
      </c>
      <c r="D4" s="26">
        <f>SUMIF($E$10:$E$21,"Teori: *",$D$10:$D$21)</f>
        <v>0</v>
      </c>
      <c r="E4" s="28">
        <f ca="1">SUM(PrevSheet(E4)+D4)</f>
        <v>0</v>
      </c>
    </row>
    <row r="5" spans="1:6" ht="33" thickBot="1" x14ac:dyDescent="0.25">
      <c r="A5" s="54" t="str">
        <f>CONCATENATE("Total tid brukt i uke ", MID(A1,37,1))</f>
        <v>Total tid brukt i uke N</v>
      </c>
      <c r="B5" s="55" t="str">
        <f>CONCATENATE("Total tid prosjekt inntil uke ", MID(A1,37,1))</f>
        <v>Total tid prosjekt inntil uke N</v>
      </c>
      <c r="C5" s="57" t="s">
        <v>6</v>
      </c>
      <c r="D5" s="26">
        <f>SUMIF($E$10:$E$21,"Utvikling: *",$D$10:$D$21)</f>
        <v>0</v>
      </c>
      <c r="E5" s="28">
        <f ca="1">SUM(PrevSheet(E5)+D5)</f>
        <v>0</v>
      </c>
    </row>
    <row r="6" spans="1:6" ht="16" thickBot="1" x14ac:dyDescent="0.25">
      <c r="A6" s="25">
        <f>SUM($D$4:$D$7)</f>
        <v>0</v>
      </c>
      <c r="B6" s="24">
        <f ca="1">SUM(PrevSheet(B6)+A6)</f>
        <v>0</v>
      </c>
      <c r="C6" s="58" t="s">
        <v>7</v>
      </c>
      <c r="D6" s="26">
        <f>SUMIF($E$10:$E$21,"Administrativt: *",$D$10:$D$21)</f>
        <v>0</v>
      </c>
      <c r="E6" s="28">
        <f ca="1">SUM(PrevSheet(E6)+D6)</f>
        <v>0</v>
      </c>
    </row>
    <row r="7" spans="1:6" ht="16" thickBot="1" x14ac:dyDescent="0.25">
      <c r="A7" s="9"/>
      <c r="B7" s="4"/>
      <c r="C7" s="59" t="s">
        <v>8</v>
      </c>
      <c r="D7" s="27">
        <f>SUM(SUMIF($E$10:$E$21,"Logg: *",$D$10:$D$21),SUMIF($E$10:$E$21,"Oppgaver: *",$D$10:$D$21),SUMIF($E$10:$E$21,"Logg/Oppgaver: *",$D$10:$D$21),)</f>
        <v>0</v>
      </c>
      <c r="E7" s="28">
        <f ca="1">SUM(PrevSheet(E7)+D7)</f>
        <v>0</v>
      </c>
    </row>
    <row r="8" spans="1:6" ht="16" thickBot="1" x14ac:dyDescent="0.25">
      <c r="A8" s="5"/>
      <c r="B8" s="3"/>
      <c r="C8" s="8"/>
      <c r="D8" s="3"/>
      <c r="E8" s="3"/>
      <c r="F8" s="20"/>
    </row>
    <row r="9" spans="1:6" ht="16" thickBot="1" x14ac:dyDescent="0.25">
      <c r="A9" s="6" t="s">
        <v>9</v>
      </c>
      <c r="B9" s="2" t="s">
        <v>10</v>
      </c>
      <c r="C9" s="2" t="s">
        <v>11</v>
      </c>
      <c r="D9" s="2" t="s">
        <v>12</v>
      </c>
      <c r="E9" s="13" t="s">
        <v>13</v>
      </c>
      <c r="F9" s="12" t="s">
        <v>16</v>
      </c>
    </row>
    <row r="10" spans="1:6" x14ac:dyDescent="0.2">
      <c r="A10" s="36"/>
      <c r="B10" s="45"/>
      <c r="C10" s="45"/>
      <c r="D10" s="45">
        <f>(C10-B10)</f>
        <v>0</v>
      </c>
      <c r="E10" s="14"/>
      <c r="F10" s="40"/>
    </row>
    <row r="11" spans="1:6" x14ac:dyDescent="0.2">
      <c r="A11" s="37"/>
      <c r="B11" s="46"/>
      <c r="C11" s="46"/>
      <c r="D11" s="46">
        <f>(C11-B11)</f>
        <v>0</v>
      </c>
      <c r="E11" s="15"/>
      <c r="F11" s="41"/>
    </row>
    <row r="12" spans="1:6" x14ac:dyDescent="0.2">
      <c r="A12" s="38"/>
      <c r="B12" s="47"/>
      <c r="C12" s="47"/>
      <c r="D12" s="47">
        <f>(C12-B12)</f>
        <v>0</v>
      </c>
      <c r="E12" s="16"/>
      <c r="F12" s="40"/>
    </row>
    <row r="13" spans="1:6" x14ac:dyDescent="0.2">
      <c r="A13" s="42"/>
      <c r="B13" s="48"/>
      <c r="C13" s="48"/>
      <c r="D13" s="51">
        <f t="shared" ref="D13:D21" si="0">(C13-B13)</f>
        <v>0</v>
      </c>
      <c r="E13" s="15"/>
      <c r="F13" s="41"/>
    </row>
    <row r="14" spans="1:6" x14ac:dyDescent="0.2">
      <c r="A14" s="43"/>
      <c r="B14" s="49"/>
      <c r="C14" s="49"/>
      <c r="D14" s="47">
        <f t="shared" si="0"/>
        <v>0</v>
      </c>
      <c r="E14" s="17"/>
      <c r="F14" s="40"/>
    </row>
    <row r="15" spans="1:6" x14ac:dyDescent="0.2">
      <c r="A15" s="42"/>
      <c r="B15" s="48"/>
      <c r="C15" s="48"/>
      <c r="D15" s="52">
        <f t="shared" si="0"/>
        <v>0</v>
      </c>
      <c r="E15" s="18"/>
      <c r="F15" s="41"/>
    </row>
    <row r="16" spans="1:6" x14ac:dyDescent="0.2">
      <c r="A16" s="39"/>
      <c r="B16" s="49"/>
      <c r="C16" s="49"/>
      <c r="D16" s="47">
        <f t="shared" si="0"/>
        <v>0</v>
      </c>
      <c r="E16" s="17"/>
      <c r="F16" s="40"/>
    </row>
    <row r="17" spans="1:6" x14ac:dyDescent="0.2">
      <c r="A17" s="42"/>
      <c r="B17" s="48"/>
      <c r="C17" s="48"/>
      <c r="D17" s="52">
        <f t="shared" si="0"/>
        <v>0</v>
      </c>
      <c r="E17" s="18"/>
      <c r="F17" s="41"/>
    </row>
    <row r="18" spans="1:6" x14ac:dyDescent="0.2">
      <c r="A18" s="39"/>
      <c r="B18" s="49"/>
      <c r="C18" s="49"/>
      <c r="D18" s="47">
        <f t="shared" si="0"/>
        <v>0</v>
      </c>
      <c r="E18" s="17"/>
      <c r="F18" s="40"/>
    </row>
    <row r="19" spans="1:6" x14ac:dyDescent="0.2">
      <c r="A19" s="42"/>
      <c r="B19" s="48"/>
      <c r="C19" s="48"/>
      <c r="D19" s="52">
        <f t="shared" si="0"/>
        <v>0</v>
      </c>
      <c r="E19" s="18"/>
      <c r="F19" s="41"/>
    </row>
    <row r="20" spans="1:6" x14ac:dyDescent="0.2">
      <c r="A20" s="39"/>
      <c r="B20" s="49"/>
      <c r="C20" s="49"/>
      <c r="D20" s="47">
        <f t="shared" si="0"/>
        <v>0</v>
      </c>
      <c r="E20" s="17"/>
      <c r="F20" s="40"/>
    </row>
    <row r="21" spans="1:6" ht="16" thickBot="1" x14ac:dyDescent="0.25">
      <c r="A21" s="44"/>
      <c r="B21" s="50"/>
      <c r="C21" s="50"/>
      <c r="D21" s="53">
        <f t="shared" si="0"/>
        <v>0</v>
      </c>
      <c r="E21" s="19"/>
      <c r="F21" s="60"/>
    </row>
    <row r="22" spans="1:6" ht="22" thickBot="1" x14ac:dyDescent="0.3">
      <c r="A22" s="7" t="s">
        <v>14</v>
      </c>
      <c r="B22" s="1"/>
      <c r="C22" s="1"/>
      <c r="D22" s="1"/>
      <c r="E22" s="1"/>
    </row>
    <row r="23" spans="1:6" x14ac:dyDescent="0.2">
      <c r="A23" s="1"/>
      <c r="B23" s="1"/>
      <c r="C23" s="1"/>
      <c r="D23" s="1"/>
      <c r="E23" s="1"/>
    </row>
    <row r="24" spans="1:6" x14ac:dyDescent="0.2">
      <c r="A24" s="1"/>
      <c r="B24" s="1"/>
      <c r="C24" s="1"/>
      <c r="D24" s="1"/>
      <c r="E24" s="1"/>
    </row>
    <row r="25" spans="1:6" x14ac:dyDescent="0.2">
      <c r="A25" s="1"/>
      <c r="B25" s="1"/>
      <c r="C25" s="1"/>
      <c r="D25" s="1"/>
      <c r="E25" s="1"/>
    </row>
    <row r="26" spans="1:6" x14ac:dyDescent="0.2">
      <c r="A26" s="1"/>
      <c r="B26" s="1"/>
      <c r="C26" s="1"/>
      <c r="D26" s="1"/>
      <c r="E26" s="1"/>
    </row>
    <row r="27" spans="1:6" x14ac:dyDescent="0.2">
      <c r="A27" s="1"/>
      <c r="B27" s="1"/>
      <c r="C27" s="1"/>
      <c r="D27" s="1"/>
      <c r="E27" s="1"/>
    </row>
  </sheetData>
  <conditionalFormatting sqref="D10:D21">
    <cfRule type="cellIs" dxfId="385" priority="51" operator="equal">
      <formula>0</formula>
    </cfRule>
  </conditionalFormatting>
  <conditionalFormatting sqref="A10:D21">
    <cfRule type="expression" dxfId="384" priority="50">
      <formula>EVEN(ROW())=ROW()</formula>
    </cfRule>
  </conditionalFormatting>
  <conditionalFormatting sqref="E10:E21">
    <cfRule type="expression" dxfId="383" priority="43">
      <formula>SEARCH("Oppgaver: ",E10:E21)</formula>
    </cfRule>
    <cfRule type="expression" dxfId="382" priority="44">
      <formula>SEARCH("Logg: ",E10:E21)</formula>
    </cfRule>
    <cfRule type="expression" dxfId="381" priority="45">
      <formula>SEARCH("Logg/Oppgaver: ",E10:E21)</formula>
    </cfRule>
    <cfRule type="expression" dxfId="380" priority="46">
      <formula>SEARCH("Administrativt: ",E10:E21)</formula>
    </cfRule>
    <cfRule type="expression" dxfId="379" priority="47">
      <formula>SEARCH("Utvikling: ",E10:E21)</formula>
    </cfRule>
    <cfRule type="expression" dxfId="378" priority="48">
      <formula>SEARCH("Teori: ",E10:E21)</formula>
    </cfRule>
    <cfRule type="expression" dxfId="377" priority="49">
      <formula>EVEN(ROW())=ROW()</formula>
    </cfRule>
  </conditionalFormatting>
  <conditionalFormatting sqref="F20">
    <cfRule type="expression" dxfId="376" priority="36">
      <formula>SEARCH("Oppgaver: ",F20:F31)</formula>
    </cfRule>
    <cfRule type="expression" dxfId="375" priority="37">
      <formula>SEARCH("Logg: ",F20:F31)</formula>
    </cfRule>
    <cfRule type="expression" dxfId="374" priority="38">
      <formula>SEARCH("Logg/Oppgaver: ",F20:F31)</formula>
    </cfRule>
    <cfRule type="expression" dxfId="373" priority="39">
      <formula>SEARCH("Administrativt: ",F20:F31)</formula>
    </cfRule>
    <cfRule type="expression" dxfId="372" priority="40">
      <formula>SEARCH("Utvikling: ",F20:F31)</formula>
    </cfRule>
    <cfRule type="expression" dxfId="371" priority="41">
      <formula>SEARCH("Teori: ",F20:F31)</formula>
    </cfRule>
    <cfRule type="expression" dxfId="370" priority="42">
      <formula>EVEN(ROW())=ROW()</formula>
    </cfRule>
  </conditionalFormatting>
  <conditionalFormatting sqref="F18">
    <cfRule type="expression" dxfId="369" priority="29">
      <formula>SEARCH("Oppgaver: ",F18:F29)</formula>
    </cfRule>
    <cfRule type="expression" dxfId="368" priority="30">
      <formula>SEARCH("Logg: ",F18:F29)</formula>
    </cfRule>
    <cfRule type="expression" dxfId="367" priority="31">
      <formula>SEARCH("Logg/Oppgaver: ",F18:F29)</formula>
    </cfRule>
    <cfRule type="expression" dxfId="366" priority="32">
      <formula>SEARCH("Administrativt: ",F18:F29)</formula>
    </cfRule>
    <cfRule type="expression" dxfId="365" priority="33">
      <formula>SEARCH("Utvikling: ",F18:F29)</formula>
    </cfRule>
    <cfRule type="expression" dxfId="364" priority="34">
      <formula>SEARCH("Teori: ",F18:F29)</formula>
    </cfRule>
    <cfRule type="expression" dxfId="363" priority="35">
      <formula>EVEN(ROW())=ROW()</formula>
    </cfRule>
  </conditionalFormatting>
  <conditionalFormatting sqref="F16">
    <cfRule type="expression" dxfId="362" priority="22">
      <formula>SEARCH("Oppgaver: ",F16:F27)</formula>
    </cfRule>
    <cfRule type="expression" dxfId="361" priority="23">
      <formula>SEARCH("Logg: ",F16:F27)</formula>
    </cfRule>
    <cfRule type="expression" dxfId="360" priority="24">
      <formula>SEARCH("Logg/Oppgaver: ",F16:F27)</formula>
    </cfRule>
    <cfRule type="expression" dxfId="359" priority="25">
      <formula>SEARCH("Administrativt: ",F16:F27)</formula>
    </cfRule>
    <cfRule type="expression" dxfId="358" priority="26">
      <formula>SEARCH("Utvikling: ",F16:F27)</formula>
    </cfRule>
    <cfRule type="expression" dxfId="357" priority="27">
      <formula>SEARCH("Teori: ",F16:F27)</formula>
    </cfRule>
    <cfRule type="expression" dxfId="356" priority="28">
      <formula>EVEN(ROW())=ROW()</formula>
    </cfRule>
  </conditionalFormatting>
  <conditionalFormatting sqref="F14">
    <cfRule type="expression" dxfId="355" priority="15">
      <formula>SEARCH("Oppgaver: ",F14:F25)</formula>
    </cfRule>
    <cfRule type="expression" dxfId="354" priority="16">
      <formula>SEARCH("Logg: ",F14:F25)</formula>
    </cfRule>
    <cfRule type="expression" dxfId="353" priority="17">
      <formula>SEARCH("Logg/Oppgaver: ",F14:F25)</formula>
    </cfRule>
    <cfRule type="expression" dxfId="352" priority="18">
      <formula>SEARCH("Administrativt: ",F14:F25)</formula>
    </cfRule>
    <cfRule type="expression" dxfId="351" priority="19">
      <formula>SEARCH("Utvikling: ",F14:F25)</formula>
    </cfRule>
    <cfRule type="expression" dxfId="350" priority="20">
      <formula>SEARCH("Teori: ",F14:F25)</formula>
    </cfRule>
    <cfRule type="expression" dxfId="349" priority="21">
      <formula>EVEN(ROW())=ROW()</formula>
    </cfRule>
  </conditionalFormatting>
  <conditionalFormatting sqref="F12">
    <cfRule type="expression" dxfId="348" priority="8">
      <formula>SEARCH("Oppgaver: ",F12:F23)</formula>
    </cfRule>
    <cfRule type="expression" dxfId="347" priority="9">
      <formula>SEARCH("Logg: ",F12:F23)</formula>
    </cfRule>
    <cfRule type="expression" dxfId="346" priority="10">
      <formula>SEARCH("Logg/Oppgaver: ",F12:F23)</formula>
    </cfRule>
    <cfRule type="expression" dxfId="345" priority="11">
      <formula>SEARCH("Administrativt: ",F12:F23)</formula>
    </cfRule>
    <cfRule type="expression" dxfId="344" priority="12">
      <formula>SEARCH("Utvikling: ",F12:F23)</formula>
    </cfRule>
    <cfRule type="expression" dxfId="343" priority="13">
      <formula>SEARCH("Teori: ",F12:F23)</formula>
    </cfRule>
    <cfRule type="expression" dxfId="342" priority="14">
      <formula>EVEN(ROW())=ROW()</formula>
    </cfRule>
  </conditionalFormatting>
  <conditionalFormatting sqref="F10">
    <cfRule type="expression" dxfId="341" priority="1">
      <formula>SEARCH("Oppgaver: ",F10:F21)</formula>
    </cfRule>
    <cfRule type="expression" dxfId="340" priority="2">
      <formula>SEARCH("Logg: ",F10:F21)</formula>
    </cfRule>
    <cfRule type="expression" dxfId="339" priority="3">
      <formula>SEARCH("Logg/Oppgaver: ",F10:F21)</formula>
    </cfRule>
    <cfRule type="expression" dxfId="338" priority="4">
      <formula>SEARCH("Administrativt: ",F10:F21)</formula>
    </cfRule>
    <cfRule type="expression" dxfId="337" priority="5">
      <formula>SEARCH("Utvikling: ",F10:F21)</formula>
    </cfRule>
    <cfRule type="expression" dxfId="336" priority="6">
      <formula>SEARCH("Teori: ",F10:F21)</formula>
    </cfRule>
    <cfRule type="expression" dxfId="335" priority="7">
      <formula>EVEN(ROW())=ROW()</formula>
    </cfRule>
  </conditionalFormatting>
  <dataValidations count="1">
    <dataValidation errorStyle="information" allowBlank="1" showInputMessage="1" sqref="E10:E21 F20 F18 F16 F14 F12 F10" xr:uid="{85010D34-049E-344C-86AA-CF0B348C2D5B}"/>
  </dataValidations>
  <pageMargins left="0.25" right="0.25" top="0.75" bottom="0.75" header="0.3" footer="0.3"/>
  <pageSetup paperSize="9" scale="90" fitToHeight="0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1CFCA-4943-4D84-8796-074E67E7E322}">
  <sheetPr codeName="Sheet6">
    <pageSetUpPr fitToPage="1"/>
  </sheetPr>
  <dimension ref="A1:F27"/>
  <sheetViews>
    <sheetView zoomScale="140" zoomScaleNormal="140" workbookViewId="0">
      <selection activeCell="F12" sqref="F12"/>
    </sheetView>
  </sheetViews>
  <sheetFormatPr baseColWidth="10" defaultColWidth="11.5" defaultRowHeight="15" x14ac:dyDescent="0.2"/>
  <cols>
    <col min="1" max="1" width="21.33203125" customWidth="1"/>
    <col min="2" max="2" width="18.6640625" customWidth="1"/>
    <col min="3" max="3" width="13.6640625" customWidth="1"/>
    <col min="4" max="4" width="14.6640625" customWidth="1"/>
    <col min="5" max="5" width="29.5" customWidth="1"/>
    <col min="6" max="6" width="9.6640625" customWidth="1"/>
  </cols>
  <sheetData>
    <row r="1" spans="1:6" ht="26" thickTop="1" thickBot="1" x14ac:dyDescent="0.35">
      <c r="A1" s="21" t="s">
        <v>15</v>
      </c>
      <c r="B1" s="10"/>
      <c r="C1" s="22"/>
      <c r="D1" s="11"/>
      <c r="E1" s="11"/>
      <c r="F1" s="23"/>
    </row>
    <row r="2" spans="1:6" ht="17" thickTop="1" thickBot="1" x14ac:dyDescent="0.25"/>
    <row r="3" spans="1:6" ht="33" thickBot="1" x14ac:dyDescent="0.25">
      <c r="A3" s="31" t="s">
        <v>0</v>
      </c>
      <c r="B3" s="30" t="s">
        <v>1</v>
      </c>
      <c r="C3" s="33" t="s">
        <v>2</v>
      </c>
      <c r="D3" s="32" t="s">
        <v>3</v>
      </c>
      <c r="E3" s="29" t="s">
        <v>4</v>
      </c>
    </row>
    <row r="4" spans="1:6" ht="16" thickBot="1" x14ac:dyDescent="0.25">
      <c r="A4" s="35">
        <f>DATE(2021,1,25)</f>
        <v>44221</v>
      </c>
      <c r="B4" s="34">
        <f>A4+6</f>
        <v>44227</v>
      </c>
      <c r="C4" s="56" t="s">
        <v>5</v>
      </c>
      <c r="D4" s="26">
        <f>SUMIF($E$10:$E$21,"Teori: *",$D$10:$D$21)</f>
        <v>0</v>
      </c>
      <c r="E4" s="28">
        <f ca="1">SUM(PrevSheet(E4)+D4)</f>
        <v>0</v>
      </c>
    </row>
    <row r="5" spans="1:6" ht="33" thickBot="1" x14ac:dyDescent="0.25">
      <c r="A5" s="54" t="str">
        <f>CONCATENATE("Total tid brukt i uke ", MID(A1,37,1))</f>
        <v>Total tid brukt i uke 4</v>
      </c>
      <c r="B5" s="55" t="str">
        <f>CONCATENATE("Total tid prosjekt inntil uke ", MID(A1,37,1))</f>
        <v>Total tid prosjekt inntil uke 4</v>
      </c>
      <c r="C5" s="57" t="s">
        <v>6</v>
      </c>
      <c r="D5" s="26">
        <f>SUMIF($E$10:$E$21,"Utvikling: *",$D$10:$D$21)</f>
        <v>0</v>
      </c>
      <c r="E5" s="28">
        <f ca="1">SUM(PrevSheet(E5)+D5)</f>
        <v>0</v>
      </c>
    </row>
    <row r="6" spans="1:6" ht="16" thickBot="1" x14ac:dyDescent="0.25">
      <c r="A6" s="25">
        <f>SUM($D$4:$D$7)</f>
        <v>0.1909722222222221</v>
      </c>
      <c r="B6" s="24">
        <f ca="1">SUM(PrevSheet(B6)+A6)</f>
        <v>0.1909722222222221</v>
      </c>
      <c r="C6" s="58" t="s">
        <v>7</v>
      </c>
      <c r="D6" s="26">
        <f>SUMIF($E$10:$E$21,"Administrativt: *",$D$10:$D$21)</f>
        <v>8.4722222222222199E-2</v>
      </c>
      <c r="E6" s="28">
        <f ca="1">SUM(PrevSheet(E6)+D6)</f>
        <v>8.4722222222222199E-2</v>
      </c>
    </row>
    <row r="7" spans="1:6" ht="20.75" customHeight="1" thickBot="1" x14ac:dyDescent="0.25">
      <c r="A7" s="9"/>
      <c r="B7" s="4"/>
      <c r="C7" s="59" t="s">
        <v>8</v>
      </c>
      <c r="D7" s="27">
        <f>SUM(SUMIF($E$10:$E$21,"Logg: *",$D$10:$D$21),SUMIF($E$10:$E$21,"Oppgaver: *",$D$10:$D$21),SUMIF($E$10:$E$21,"Logg/Oppgaver: *",$D$10:$D$21),)</f>
        <v>0.1062499999999999</v>
      </c>
      <c r="E7" s="28">
        <f ca="1">SUM(PrevSheet(E7)+D7)</f>
        <v>0.1062499999999999</v>
      </c>
    </row>
    <row r="8" spans="1:6" ht="16" thickBot="1" x14ac:dyDescent="0.25">
      <c r="A8" s="5"/>
      <c r="B8" s="3"/>
      <c r="C8" s="8"/>
      <c r="D8" s="3"/>
      <c r="E8" s="3"/>
      <c r="F8" s="20"/>
    </row>
    <row r="9" spans="1:6" ht="16" thickBot="1" x14ac:dyDescent="0.25">
      <c r="A9" s="6" t="s">
        <v>9</v>
      </c>
      <c r="B9" s="2" t="s">
        <v>10</v>
      </c>
      <c r="C9" s="2" t="s">
        <v>11</v>
      </c>
      <c r="D9" s="2" t="s">
        <v>12</v>
      </c>
      <c r="E9" s="13" t="s">
        <v>13</v>
      </c>
      <c r="F9" s="12" t="s">
        <v>16</v>
      </c>
    </row>
    <row r="10" spans="1:6" x14ac:dyDescent="0.2">
      <c r="A10" s="36">
        <f>DATE(2021,1,25)</f>
        <v>44221</v>
      </c>
      <c r="B10" s="45">
        <v>0.41666666666666669</v>
      </c>
      <c r="C10" s="45">
        <v>0.43472222222222223</v>
      </c>
      <c r="D10" s="45">
        <f>(C10-B10)</f>
        <v>1.8055555555555547E-2</v>
      </c>
      <c r="E10" s="14" t="s">
        <v>18</v>
      </c>
      <c r="F10" s="40"/>
    </row>
    <row r="11" spans="1:6" x14ac:dyDescent="0.2">
      <c r="A11" s="37">
        <f>DATE(2021,1,25)</f>
        <v>44221</v>
      </c>
      <c r="B11" s="46">
        <v>0.43472222222222223</v>
      </c>
      <c r="C11" s="46">
        <v>0.45555555555555555</v>
      </c>
      <c r="D11" s="46">
        <f>(C11-B11)</f>
        <v>2.0833333333333315E-2</v>
      </c>
      <c r="E11" s="15" t="s">
        <v>19</v>
      </c>
      <c r="F11" s="41" t="s">
        <v>35</v>
      </c>
    </row>
    <row r="12" spans="1:6" x14ac:dyDescent="0.2">
      <c r="A12" s="38">
        <f>DATE(2021,1,26)</f>
        <v>44222</v>
      </c>
      <c r="B12" s="47">
        <v>0.76736111111111116</v>
      </c>
      <c r="C12" s="47">
        <v>0.7729166666666667</v>
      </c>
      <c r="D12" s="47">
        <f>(C12-B12)</f>
        <v>5.5555555555555358E-3</v>
      </c>
      <c r="E12" s="16" t="s">
        <v>20</v>
      </c>
      <c r="F12" s="40"/>
    </row>
    <row r="13" spans="1:6" x14ac:dyDescent="0.2">
      <c r="A13" s="42">
        <f>DATE(2021,1,29)</f>
        <v>44225</v>
      </c>
      <c r="B13" s="48">
        <v>0.62638888888888888</v>
      </c>
      <c r="C13" s="48">
        <v>0.70624999999999993</v>
      </c>
      <c r="D13" s="51">
        <f t="shared" ref="D13:D21" si="0">(C13-B13)</f>
        <v>7.9861111111111049E-2</v>
      </c>
      <c r="E13" s="15" t="s">
        <v>21</v>
      </c>
      <c r="F13" s="41" t="s">
        <v>35</v>
      </c>
    </row>
    <row r="14" spans="1:6" x14ac:dyDescent="0.2">
      <c r="A14" s="43">
        <f>DATE(2021,1,30)</f>
        <v>44226</v>
      </c>
      <c r="B14" s="49">
        <v>0.54583333333333328</v>
      </c>
      <c r="C14" s="49">
        <v>0.58333333333333337</v>
      </c>
      <c r="D14" s="47">
        <f t="shared" si="0"/>
        <v>3.7500000000000089E-2</v>
      </c>
      <c r="E14" s="17" t="s">
        <v>22</v>
      </c>
      <c r="F14" s="40"/>
    </row>
    <row r="15" spans="1:6" x14ac:dyDescent="0.2">
      <c r="A15" s="42">
        <f>DATE(2021,1,31)</f>
        <v>44227</v>
      </c>
      <c r="B15" s="48">
        <v>0.82500000000000007</v>
      </c>
      <c r="C15" s="48">
        <v>0.85416666666666663</v>
      </c>
      <c r="D15" s="52">
        <f t="shared" si="0"/>
        <v>2.9166666666666563E-2</v>
      </c>
      <c r="E15" s="18" t="s">
        <v>23</v>
      </c>
      <c r="F15" s="41"/>
    </row>
    <row r="16" spans="1:6" x14ac:dyDescent="0.2">
      <c r="A16" s="39"/>
      <c r="B16" s="49"/>
      <c r="C16" s="49"/>
      <c r="D16" s="47">
        <f t="shared" si="0"/>
        <v>0</v>
      </c>
      <c r="E16" s="17"/>
      <c r="F16" s="40"/>
    </row>
    <row r="17" spans="1:6" x14ac:dyDescent="0.2">
      <c r="A17" s="42"/>
      <c r="B17" s="48"/>
      <c r="C17" s="48"/>
      <c r="D17" s="52">
        <f t="shared" si="0"/>
        <v>0</v>
      </c>
      <c r="E17" s="18"/>
      <c r="F17" s="41"/>
    </row>
    <row r="18" spans="1:6" x14ac:dyDescent="0.2">
      <c r="A18" s="39"/>
      <c r="B18" s="49"/>
      <c r="C18" s="49"/>
      <c r="D18" s="47">
        <f t="shared" si="0"/>
        <v>0</v>
      </c>
      <c r="E18" s="17"/>
      <c r="F18" s="40"/>
    </row>
    <row r="19" spans="1:6" x14ac:dyDescent="0.2">
      <c r="A19" s="42"/>
      <c r="B19" s="48"/>
      <c r="C19" s="48"/>
      <c r="D19" s="52">
        <f t="shared" si="0"/>
        <v>0</v>
      </c>
      <c r="E19" s="18"/>
      <c r="F19" s="41"/>
    </row>
    <row r="20" spans="1:6" x14ac:dyDescent="0.2">
      <c r="A20" s="39"/>
      <c r="B20" s="49"/>
      <c r="C20" s="49"/>
      <c r="D20" s="47">
        <f t="shared" si="0"/>
        <v>0</v>
      </c>
      <c r="E20" s="17"/>
      <c r="F20" s="40"/>
    </row>
    <row r="21" spans="1:6" ht="16" thickBot="1" x14ac:dyDescent="0.25">
      <c r="A21" s="44"/>
      <c r="B21" s="50"/>
      <c r="C21" s="50"/>
      <c r="D21" s="53">
        <f t="shared" si="0"/>
        <v>0</v>
      </c>
      <c r="E21" s="19"/>
      <c r="F21" s="60"/>
    </row>
    <row r="22" spans="1:6" ht="22" thickBot="1" x14ac:dyDescent="0.3">
      <c r="A22" s="7" t="s">
        <v>14</v>
      </c>
      <c r="B22" s="1"/>
      <c r="C22" s="1"/>
      <c r="D22" s="1"/>
      <c r="E22" s="1"/>
    </row>
    <row r="23" spans="1:6" x14ac:dyDescent="0.2">
      <c r="A23" s="1"/>
      <c r="B23" s="1"/>
      <c r="C23" s="1"/>
      <c r="D23" s="1"/>
      <c r="E23" s="1"/>
    </row>
    <row r="24" spans="1:6" x14ac:dyDescent="0.2">
      <c r="A24" s="1"/>
      <c r="B24" s="1"/>
      <c r="C24" s="1"/>
      <c r="D24" s="1"/>
      <c r="E24" s="1"/>
    </row>
    <row r="25" spans="1:6" x14ac:dyDescent="0.2">
      <c r="A25" s="1"/>
      <c r="B25" s="1"/>
      <c r="C25" s="1"/>
      <c r="D25" s="1"/>
      <c r="E25" s="1"/>
    </row>
    <row r="26" spans="1:6" x14ac:dyDescent="0.2">
      <c r="A26" s="1"/>
      <c r="B26" s="1"/>
      <c r="C26" s="1"/>
      <c r="D26" s="1"/>
      <c r="E26" s="1"/>
    </row>
    <row r="27" spans="1:6" x14ac:dyDescent="0.2">
      <c r="A27" s="1"/>
      <c r="B27" s="1"/>
      <c r="C27" s="1"/>
      <c r="D27" s="1"/>
      <c r="E27" s="1"/>
    </row>
  </sheetData>
  <conditionalFormatting sqref="D10:D21">
    <cfRule type="cellIs" dxfId="334" priority="51" operator="equal">
      <formula>0</formula>
    </cfRule>
  </conditionalFormatting>
  <conditionalFormatting sqref="A10:D21">
    <cfRule type="expression" dxfId="333" priority="50">
      <formula>EVEN(ROW())=ROW()</formula>
    </cfRule>
  </conditionalFormatting>
  <conditionalFormatting sqref="E10:E21">
    <cfRule type="expression" dxfId="332" priority="43">
      <formula>SEARCH("Oppgaver: ",E10:E21)</formula>
    </cfRule>
    <cfRule type="expression" dxfId="331" priority="44">
      <formula>SEARCH("Logg: ",E10:E21)</formula>
    </cfRule>
    <cfRule type="expression" dxfId="330" priority="45">
      <formula>SEARCH("Logg/Oppgaver: ",E10:E21)</formula>
    </cfRule>
    <cfRule type="expression" dxfId="329" priority="46">
      <formula>SEARCH("Administrativt: ",E10:E21)</formula>
    </cfRule>
    <cfRule type="expression" dxfId="328" priority="47">
      <formula>SEARCH("Utvikling: ",E10:E21)</formula>
    </cfRule>
    <cfRule type="expression" dxfId="327" priority="48">
      <formula>SEARCH("Teori: ",E10:E21)</formula>
    </cfRule>
    <cfRule type="expression" dxfId="326" priority="49">
      <formula>EVEN(ROW())=ROW()</formula>
    </cfRule>
  </conditionalFormatting>
  <conditionalFormatting sqref="F20">
    <cfRule type="expression" dxfId="325" priority="36">
      <formula>SEARCH("Oppgaver: ",F20:F31)</formula>
    </cfRule>
    <cfRule type="expression" dxfId="324" priority="37">
      <formula>SEARCH("Logg: ",F20:F31)</formula>
    </cfRule>
    <cfRule type="expression" dxfId="323" priority="38">
      <formula>SEARCH("Logg/Oppgaver: ",F20:F31)</formula>
    </cfRule>
    <cfRule type="expression" dxfId="322" priority="39">
      <formula>SEARCH("Administrativt: ",F20:F31)</formula>
    </cfRule>
    <cfRule type="expression" dxfId="321" priority="40">
      <formula>SEARCH("Utvikling: ",F20:F31)</formula>
    </cfRule>
    <cfRule type="expression" dxfId="320" priority="41">
      <formula>SEARCH("Teori: ",F20:F31)</formula>
    </cfRule>
    <cfRule type="expression" dxfId="319" priority="42">
      <formula>EVEN(ROW())=ROW()</formula>
    </cfRule>
  </conditionalFormatting>
  <conditionalFormatting sqref="F18">
    <cfRule type="expression" dxfId="318" priority="29">
      <formula>SEARCH("Oppgaver: ",F18:F29)</formula>
    </cfRule>
    <cfRule type="expression" dxfId="317" priority="30">
      <formula>SEARCH("Logg: ",F18:F29)</formula>
    </cfRule>
    <cfRule type="expression" dxfId="316" priority="31">
      <formula>SEARCH("Logg/Oppgaver: ",F18:F29)</formula>
    </cfRule>
    <cfRule type="expression" dxfId="315" priority="32">
      <formula>SEARCH("Administrativt: ",F18:F29)</formula>
    </cfRule>
    <cfRule type="expression" dxfId="314" priority="33">
      <formula>SEARCH("Utvikling: ",F18:F29)</formula>
    </cfRule>
    <cfRule type="expression" dxfId="313" priority="34">
      <formula>SEARCH("Teori: ",F18:F29)</formula>
    </cfRule>
    <cfRule type="expression" dxfId="312" priority="35">
      <formula>EVEN(ROW())=ROW()</formula>
    </cfRule>
  </conditionalFormatting>
  <conditionalFormatting sqref="F16">
    <cfRule type="expression" dxfId="311" priority="22">
      <formula>SEARCH("Oppgaver: ",F16:F27)</formula>
    </cfRule>
    <cfRule type="expression" dxfId="310" priority="23">
      <formula>SEARCH("Logg: ",F16:F27)</formula>
    </cfRule>
    <cfRule type="expression" dxfId="309" priority="24">
      <formula>SEARCH("Logg/Oppgaver: ",F16:F27)</formula>
    </cfRule>
    <cfRule type="expression" dxfId="308" priority="25">
      <formula>SEARCH("Administrativt: ",F16:F27)</formula>
    </cfRule>
    <cfRule type="expression" dxfId="307" priority="26">
      <formula>SEARCH("Utvikling: ",F16:F27)</formula>
    </cfRule>
    <cfRule type="expression" dxfId="306" priority="27">
      <formula>SEARCH("Teori: ",F16:F27)</formula>
    </cfRule>
    <cfRule type="expression" dxfId="305" priority="28">
      <formula>EVEN(ROW())=ROW()</formula>
    </cfRule>
  </conditionalFormatting>
  <conditionalFormatting sqref="F14">
    <cfRule type="expression" dxfId="304" priority="15">
      <formula>SEARCH("Oppgaver: ",F14:F25)</formula>
    </cfRule>
    <cfRule type="expression" dxfId="303" priority="16">
      <formula>SEARCH("Logg: ",F14:F25)</formula>
    </cfRule>
    <cfRule type="expression" dxfId="302" priority="17">
      <formula>SEARCH("Logg/Oppgaver: ",F14:F25)</formula>
    </cfRule>
    <cfRule type="expression" dxfId="301" priority="18">
      <formula>SEARCH("Administrativt: ",F14:F25)</formula>
    </cfRule>
    <cfRule type="expression" dxfId="300" priority="19">
      <formula>SEARCH("Utvikling: ",F14:F25)</formula>
    </cfRule>
    <cfRule type="expression" dxfId="299" priority="20">
      <formula>SEARCH("Teori: ",F14:F25)</formula>
    </cfRule>
    <cfRule type="expression" dxfId="298" priority="21">
      <formula>EVEN(ROW())=ROW()</formula>
    </cfRule>
  </conditionalFormatting>
  <conditionalFormatting sqref="F12">
    <cfRule type="expression" dxfId="297" priority="8">
      <formula>SEARCH("Oppgaver: ",F12:F23)</formula>
    </cfRule>
    <cfRule type="expression" dxfId="296" priority="9">
      <formula>SEARCH("Logg: ",F12:F23)</formula>
    </cfRule>
    <cfRule type="expression" dxfId="295" priority="10">
      <formula>SEARCH("Logg/Oppgaver: ",F12:F23)</formula>
    </cfRule>
    <cfRule type="expression" dxfId="294" priority="11">
      <formula>SEARCH("Administrativt: ",F12:F23)</formula>
    </cfRule>
    <cfRule type="expression" dxfId="293" priority="12">
      <formula>SEARCH("Utvikling: ",F12:F23)</formula>
    </cfRule>
    <cfRule type="expression" dxfId="292" priority="13">
      <formula>SEARCH("Teori: ",F12:F23)</formula>
    </cfRule>
    <cfRule type="expression" dxfId="291" priority="14">
      <formula>EVEN(ROW())=ROW()</formula>
    </cfRule>
  </conditionalFormatting>
  <conditionalFormatting sqref="F10">
    <cfRule type="expression" dxfId="290" priority="1">
      <formula>SEARCH("Oppgaver: ",F10:F21)</formula>
    </cfRule>
    <cfRule type="expression" dxfId="289" priority="2">
      <formula>SEARCH("Logg: ",F10:F21)</formula>
    </cfRule>
    <cfRule type="expression" dxfId="288" priority="3">
      <formula>SEARCH("Logg/Oppgaver: ",F10:F21)</formula>
    </cfRule>
    <cfRule type="expression" dxfId="287" priority="4">
      <formula>SEARCH("Administrativt: ",F10:F21)</formula>
    </cfRule>
    <cfRule type="expression" dxfId="286" priority="5">
      <formula>SEARCH("Utvikling: ",F10:F21)</formula>
    </cfRule>
    <cfRule type="expression" dxfId="285" priority="6">
      <formula>SEARCH("Teori: ",F10:F21)</formula>
    </cfRule>
    <cfRule type="expression" dxfId="284" priority="7">
      <formula>EVEN(ROW())=ROW()</formula>
    </cfRule>
  </conditionalFormatting>
  <dataValidations count="1">
    <dataValidation errorStyle="information" allowBlank="1" showInputMessage="1" sqref="E10:E21 F20 F18 F16 F14 F12 F10" xr:uid="{F0591939-C112-4B1E-B32A-F10D049B90DA}"/>
  </dataValidations>
  <pageMargins left="0.25" right="0.25" top="0.75" bottom="0.75" header="0.3" footer="0.3"/>
  <pageSetup paperSize="9" scale="90" fitToHeight="0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CB5E7-9832-4B15-B67E-93B36A884AD0}">
  <sheetPr codeName="Sheet7">
    <pageSetUpPr fitToPage="1"/>
  </sheetPr>
  <dimension ref="A1:F32"/>
  <sheetViews>
    <sheetView topLeftCell="A31" zoomScale="140" zoomScaleNormal="140" workbookViewId="0">
      <selection activeCell="E27" sqref="E27"/>
    </sheetView>
  </sheetViews>
  <sheetFormatPr baseColWidth="10" defaultColWidth="11.5" defaultRowHeight="15" x14ac:dyDescent="0.2"/>
  <cols>
    <col min="1" max="1" width="21.33203125" customWidth="1"/>
    <col min="2" max="2" width="18.6640625" customWidth="1"/>
    <col min="3" max="3" width="13.6640625" customWidth="1"/>
    <col min="4" max="4" width="14.6640625" customWidth="1"/>
    <col min="5" max="5" width="29.5" customWidth="1"/>
    <col min="6" max="6" width="9.6640625" customWidth="1"/>
  </cols>
  <sheetData>
    <row r="1" spans="1:6" ht="26" thickTop="1" thickBot="1" x14ac:dyDescent="0.35">
      <c r="A1" s="21" t="s">
        <v>24</v>
      </c>
      <c r="B1" s="10"/>
      <c r="C1" s="22"/>
      <c r="D1" s="11"/>
      <c r="E1" s="11"/>
      <c r="F1" s="23"/>
    </row>
    <row r="2" spans="1:6" ht="17" thickTop="1" thickBot="1" x14ac:dyDescent="0.25"/>
    <row r="3" spans="1:6" ht="33" thickBot="1" x14ac:dyDescent="0.25">
      <c r="A3" s="31" t="s">
        <v>0</v>
      </c>
      <c r="B3" s="30" t="s">
        <v>1</v>
      </c>
      <c r="C3" s="33" t="s">
        <v>2</v>
      </c>
      <c r="D3" s="32" t="s">
        <v>3</v>
      </c>
      <c r="E3" s="29" t="s">
        <v>4</v>
      </c>
    </row>
    <row r="4" spans="1:6" ht="16" thickBot="1" x14ac:dyDescent="0.25">
      <c r="A4" s="35">
        <f>DATE(2021,2,1)</f>
        <v>44228</v>
      </c>
      <c r="B4" s="34">
        <f>A4+6</f>
        <v>44234</v>
      </c>
      <c r="C4" s="56" t="s">
        <v>5</v>
      </c>
      <c r="D4" s="26">
        <f>SUMIF($E$10:$E$26,"Teori: *",$D$10:$D$26)</f>
        <v>3.8194444444444531E-2</v>
      </c>
      <c r="E4" s="28">
        <f ca="1">SUM(PrevSheet(E4)+D4)</f>
        <v>3.8194444444444531E-2</v>
      </c>
    </row>
    <row r="5" spans="1:6" ht="33" thickBot="1" x14ac:dyDescent="0.25">
      <c r="A5" s="54" t="str">
        <f>CONCATENATE("Total tid brukt i uke ", MID(A1,37,1))</f>
        <v>Total tid brukt i uke 5</v>
      </c>
      <c r="B5" s="55" t="str">
        <f>CONCATENATE("Total tid prosjekt inntil uke ", MID(A1,37,1))</f>
        <v>Total tid prosjekt inntil uke 5</v>
      </c>
      <c r="C5" s="57" t="s">
        <v>6</v>
      </c>
      <c r="D5" s="26">
        <f>SUMIF($E$10:$E$26,"Utvikling: *",$D$10:$D$26)</f>
        <v>0</v>
      </c>
      <c r="E5" s="28">
        <f ca="1">SUM(PrevSheet(E5)+D5)</f>
        <v>0</v>
      </c>
    </row>
    <row r="6" spans="1:6" ht="16" thickBot="1" x14ac:dyDescent="0.25">
      <c r="A6" s="25">
        <f>SUM($D$4:$D$7)</f>
        <v>0.8645833333333337</v>
      </c>
      <c r="B6" s="24">
        <f ca="1">SUM(PrevSheet(B6)+A6)</f>
        <v>1.0555555555555558</v>
      </c>
      <c r="C6" s="58" t="s">
        <v>7</v>
      </c>
      <c r="D6" s="26">
        <f>SUMIF($E$10:$E$26,"Administrativt: *",$D$10:$D$26)</f>
        <v>8.0555555555555491E-2</v>
      </c>
      <c r="E6" s="28">
        <f ca="1">SUM(PrevSheet(E6)+D6)</f>
        <v>0.16527777777777769</v>
      </c>
    </row>
    <row r="7" spans="1:6" ht="20.75" customHeight="1" thickBot="1" x14ac:dyDescent="0.25">
      <c r="A7" s="9"/>
      <c r="B7" s="4"/>
      <c r="C7" s="59" t="s">
        <v>8</v>
      </c>
      <c r="D7" s="27">
        <f>SUM(SUMIF($E$10:$E$26,"Logg: *",$D$10:$D$26),SUMIF($E$10:$E$26,"Oppgaver: *",$D$10:$D$26),SUMIF($E$10:$E$26,"Logg/Oppgaver: *",$D$10:$D$26),)</f>
        <v>0.74583333333333368</v>
      </c>
      <c r="E7" s="28">
        <f ca="1">SUM(PrevSheet(E7)+D7)</f>
        <v>0.85208333333333353</v>
      </c>
    </row>
    <row r="8" spans="1:6" ht="16" thickBot="1" x14ac:dyDescent="0.25">
      <c r="A8" s="5"/>
      <c r="B8" s="3"/>
      <c r="C8" s="8"/>
      <c r="D8" s="3"/>
      <c r="E8" s="3"/>
      <c r="F8" s="20"/>
    </row>
    <row r="9" spans="1:6" ht="16" thickBot="1" x14ac:dyDescent="0.25">
      <c r="A9" s="6" t="s">
        <v>9</v>
      </c>
      <c r="B9" s="2" t="s">
        <v>10</v>
      </c>
      <c r="C9" s="2" t="s">
        <v>11</v>
      </c>
      <c r="D9" s="2" t="s">
        <v>12</v>
      </c>
      <c r="E9" s="13" t="s">
        <v>13</v>
      </c>
      <c r="F9" s="12" t="s">
        <v>16</v>
      </c>
    </row>
    <row r="10" spans="1:6" x14ac:dyDescent="0.2">
      <c r="A10" s="36">
        <f>DATE(2021,2,1)</f>
        <v>44228</v>
      </c>
      <c r="B10" s="45">
        <v>0.3972222222222222</v>
      </c>
      <c r="C10" s="45">
        <v>0.45</v>
      </c>
      <c r="D10" s="45">
        <f>(C10-B10)</f>
        <v>5.2777777777777812E-2</v>
      </c>
      <c r="E10" s="14" t="s">
        <v>25</v>
      </c>
      <c r="F10" s="40"/>
    </row>
    <row r="11" spans="1:6" x14ac:dyDescent="0.2">
      <c r="A11" s="37">
        <f>DATE(2021,2,1)</f>
        <v>44228</v>
      </c>
      <c r="B11" s="46">
        <v>0.45</v>
      </c>
      <c r="C11" s="46">
        <v>0.54513888888888895</v>
      </c>
      <c r="D11" s="46">
        <f>(C11-B11)</f>
        <v>9.5138888888888939E-2</v>
      </c>
      <c r="E11" s="15" t="s">
        <v>26</v>
      </c>
      <c r="F11" s="41" t="s">
        <v>35</v>
      </c>
    </row>
    <row r="12" spans="1:6" x14ac:dyDescent="0.2">
      <c r="A12" s="38">
        <f>DATE(2021,2,1)</f>
        <v>44228</v>
      </c>
      <c r="B12" s="47">
        <v>0.79166666666666663</v>
      </c>
      <c r="C12" s="47">
        <v>0.875</v>
      </c>
      <c r="D12" s="47">
        <f>(C12-B12)</f>
        <v>8.333333333333337E-2</v>
      </c>
      <c r="E12" s="16" t="s">
        <v>27</v>
      </c>
      <c r="F12" s="40" t="s">
        <v>35</v>
      </c>
    </row>
    <row r="13" spans="1:6" ht="19.25" customHeight="1" x14ac:dyDescent="0.2">
      <c r="A13" s="42">
        <f>DATE(2021,2,1)</f>
        <v>44228</v>
      </c>
      <c r="B13" s="48">
        <v>0.875</v>
      </c>
      <c r="C13" s="48">
        <v>0.90277777777777779</v>
      </c>
      <c r="D13" s="51">
        <f t="shared" ref="D13:D21" si="0">(C13-B13)</f>
        <v>2.777777777777779E-2</v>
      </c>
      <c r="E13" s="15" t="s">
        <v>28</v>
      </c>
      <c r="F13" s="41"/>
    </row>
    <row r="14" spans="1:6" x14ac:dyDescent="0.2">
      <c r="A14" s="43">
        <f>DATE(2021,2,1)</f>
        <v>44228</v>
      </c>
      <c r="B14" s="49">
        <v>0.90277777777777779</v>
      </c>
      <c r="C14" s="49">
        <v>0.91319444444444453</v>
      </c>
      <c r="D14" s="47">
        <f t="shared" si="0"/>
        <v>1.0416666666666741E-2</v>
      </c>
      <c r="E14" s="17" t="s">
        <v>29</v>
      </c>
      <c r="F14" s="40"/>
    </row>
    <row r="15" spans="1:6" x14ac:dyDescent="0.2">
      <c r="A15" s="42">
        <f>DATE(2021,2,2)</f>
        <v>44229</v>
      </c>
      <c r="B15" s="48">
        <v>0.49305555555555558</v>
      </c>
      <c r="C15" s="48">
        <v>0.58819444444444446</v>
      </c>
      <c r="D15" s="52">
        <f t="shared" si="0"/>
        <v>9.5138888888888884E-2</v>
      </c>
      <c r="E15" s="18" t="s">
        <v>30</v>
      </c>
      <c r="F15" s="41" t="s">
        <v>35</v>
      </c>
    </row>
    <row r="16" spans="1:6" x14ac:dyDescent="0.2">
      <c r="A16" s="39">
        <f>DATE(2021,2,2)</f>
        <v>44229</v>
      </c>
      <c r="B16" s="49">
        <v>0.58333333333333337</v>
      </c>
      <c r="C16" s="49">
        <v>0.61111111111111105</v>
      </c>
      <c r="D16" s="47">
        <f t="shared" si="0"/>
        <v>2.7777777777777679E-2</v>
      </c>
      <c r="E16" s="17" t="s">
        <v>31</v>
      </c>
      <c r="F16" s="40"/>
    </row>
    <row r="17" spans="1:6" x14ac:dyDescent="0.2">
      <c r="A17" s="42">
        <f>DATE(2021,2,2)</f>
        <v>44229</v>
      </c>
      <c r="B17" s="48">
        <v>0.95138888888888884</v>
      </c>
      <c r="C17" s="48">
        <v>0.99652777777777779</v>
      </c>
      <c r="D17" s="52">
        <f t="shared" si="0"/>
        <v>4.5138888888888951E-2</v>
      </c>
      <c r="E17" s="18" t="s">
        <v>32</v>
      </c>
      <c r="F17" s="41" t="s">
        <v>35</v>
      </c>
    </row>
    <row r="18" spans="1:6" x14ac:dyDescent="0.2">
      <c r="A18" s="39">
        <f>DATE(2021,2,3)</f>
        <v>44230</v>
      </c>
      <c r="B18" s="49">
        <v>0</v>
      </c>
      <c r="C18" s="49">
        <v>1.0416666666666666E-2</v>
      </c>
      <c r="D18" s="47">
        <f t="shared" si="0"/>
        <v>1.0416666666666666E-2</v>
      </c>
      <c r="E18" s="17" t="s">
        <v>33</v>
      </c>
      <c r="F18" s="40"/>
    </row>
    <row r="19" spans="1:6" x14ac:dyDescent="0.2">
      <c r="A19" s="42">
        <f>DATE(2021,2,3)</f>
        <v>44230</v>
      </c>
      <c r="B19" s="48">
        <v>0.3756944444444445</v>
      </c>
      <c r="C19" s="48">
        <v>0.5180555555555556</v>
      </c>
      <c r="D19" s="52">
        <f t="shared" si="0"/>
        <v>0.1423611111111111</v>
      </c>
      <c r="E19" s="18" t="s">
        <v>27</v>
      </c>
      <c r="F19" s="41" t="s">
        <v>35</v>
      </c>
    </row>
    <row r="20" spans="1:6" x14ac:dyDescent="0.2">
      <c r="A20" s="39">
        <f>DATE(2021,2,3)</f>
        <v>44230</v>
      </c>
      <c r="B20" s="49">
        <v>0.57638888888888895</v>
      </c>
      <c r="C20" s="49">
        <v>0.58750000000000002</v>
      </c>
      <c r="D20" s="47">
        <f t="shared" si="0"/>
        <v>1.1111111111111072E-2</v>
      </c>
      <c r="E20" s="17" t="s">
        <v>34</v>
      </c>
      <c r="F20" s="40" t="s">
        <v>35</v>
      </c>
    </row>
    <row r="21" spans="1:6" ht="16" thickBot="1" x14ac:dyDescent="0.25">
      <c r="A21" s="44">
        <f>DATE(2021,2,3)</f>
        <v>44230</v>
      </c>
      <c r="B21" s="61">
        <v>0.62847222222222221</v>
      </c>
      <c r="C21" s="61">
        <v>0.75</v>
      </c>
      <c r="D21" s="53">
        <f t="shared" si="0"/>
        <v>0.12152777777777779</v>
      </c>
      <c r="E21" s="19" t="s">
        <v>30</v>
      </c>
      <c r="F21" s="60" t="s">
        <v>35</v>
      </c>
    </row>
    <row r="22" spans="1:6" x14ac:dyDescent="0.2">
      <c r="A22" s="39">
        <f>DATE(2021,2,3)</f>
        <v>44230</v>
      </c>
      <c r="B22" s="49">
        <v>0.79722222222222217</v>
      </c>
      <c r="C22" s="49">
        <v>0.81944444444444453</v>
      </c>
      <c r="D22" s="47">
        <f>(C22-B22)</f>
        <v>2.2222222222222365E-2</v>
      </c>
      <c r="E22" s="17" t="s">
        <v>36</v>
      </c>
      <c r="F22" s="40" t="s">
        <v>35</v>
      </c>
    </row>
    <row r="23" spans="1:6" ht="16" thickBot="1" x14ac:dyDescent="0.25">
      <c r="A23" s="44">
        <f>DATE(2021,2,6)</f>
        <v>44233</v>
      </c>
      <c r="B23" s="61">
        <v>0.46388888888888885</v>
      </c>
      <c r="C23" s="61">
        <v>0.52083333333333337</v>
      </c>
      <c r="D23" s="53">
        <f>(C23-B23)</f>
        <v>5.694444444444452E-2</v>
      </c>
      <c r="E23" s="19" t="s">
        <v>37</v>
      </c>
      <c r="F23" s="60" t="s">
        <v>38</v>
      </c>
    </row>
    <row r="24" spans="1:6" ht="16" thickBot="1" x14ac:dyDescent="0.25">
      <c r="A24" s="44">
        <f>DATE(2021,2,7)</f>
        <v>44234</v>
      </c>
      <c r="B24" s="61">
        <v>0.45833333333333331</v>
      </c>
      <c r="C24" s="61">
        <v>0.52083333333333337</v>
      </c>
      <c r="D24" s="53">
        <f>(C24-B24)</f>
        <v>6.2500000000000056E-2</v>
      </c>
      <c r="E24" s="19" t="s">
        <v>39</v>
      </c>
      <c r="F24" s="60"/>
    </row>
    <row r="25" spans="1:6" ht="16" thickBot="1" x14ac:dyDescent="0.25">
      <c r="A25" s="44"/>
      <c r="B25" s="61"/>
      <c r="C25" s="61"/>
      <c r="D25" s="53">
        <f>(C25-B25)</f>
        <v>0</v>
      </c>
      <c r="E25" s="19"/>
      <c r="F25" s="60"/>
    </row>
    <row r="26" spans="1:6" ht="16" thickBot="1" x14ac:dyDescent="0.25">
      <c r="A26" s="44"/>
      <c r="B26" s="61"/>
      <c r="C26" s="61"/>
      <c r="D26" s="53">
        <f>(C26-B26)</f>
        <v>0</v>
      </c>
      <c r="E26" s="19"/>
      <c r="F26" s="60"/>
    </row>
    <row r="27" spans="1:6" ht="22" thickBot="1" x14ac:dyDescent="0.3">
      <c r="A27" s="7" t="s">
        <v>14</v>
      </c>
      <c r="B27" s="1"/>
      <c r="C27" s="1"/>
      <c r="D27" s="1"/>
      <c r="E27" s="1"/>
    </row>
    <row r="28" spans="1:6" x14ac:dyDescent="0.2">
      <c r="A28" s="1"/>
      <c r="B28" s="1"/>
      <c r="C28" s="1"/>
      <c r="D28" s="1"/>
      <c r="E28" s="1"/>
    </row>
    <row r="29" spans="1:6" x14ac:dyDescent="0.2">
      <c r="A29" s="1"/>
      <c r="B29" s="1"/>
      <c r="C29" s="1"/>
      <c r="D29" s="1"/>
      <c r="E29" s="1"/>
    </row>
    <row r="30" spans="1:6" x14ac:dyDescent="0.2">
      <c r="A30" s="1"/>
      <c r="B30" s="1"/>
      <c r="C30" s="1"/>
      <c r="D30" s="1"/>
      <c r="E30" s="1"/>
    </row>
    <row r="31" spans="1:6" x14ac:dyDescent="0.2">
      <c r="A31" s="1"/>
      <c r="B31" s="1"/>
      <c r="C31" s="1"/>
      <c r="D31" s="1"/>
      <c r="E31" s="1"/>
    </row>
    <row r="32" spans="1:6" x14ac:dyDescent="0.2">
      <c r="A32" s="1"/>
      <c r="B32" s="1"/>
      <c r="C32" s="1"/>
      <c r="D32" s="1"/>
      <c r="E32" s="1"/>
    </row>
  </sheetData>
  <conditionalFormatting sqref="D10:D21">
    <cfRule type="cellIs" dxfId="283" priority="87" operator="equal">
      <formula>0</formula>
    </cfRule>
  </conditionalFormatting>
  <conditionalFormatting sqref="A10:D21">
    <cfRule type="expression" dxfId="282" priority="86">
      <formula>EVEN(ROW())=ROW()</formula>
    </cfRule>
  </conditionalFormatting>
  <conditionalFormatting sqref="E10">
    <cfRule type="expression" dxfId="281" priority="79">
      <formula>SEARCH("Oppgaver: ",E10:E21)</formula>
    </cfRule>
    <cfRule type="expression" dxfId="280" priority="80">
      <formula>SEARCH("Logg: ",E10:E21)</formula>
    </cfRule>
    <cfRule type="expression" dxfId="279" priority="81">
      <formula>SEARCH("Logg/Oppgaver: ",E10:E21)</formula>
    </cfRule>
    <cfRule type="expression" dxfId="278" priority="82">
      <formula>SEARCH("Administrativt: ",E10:E21)</formula>
    </cfRule>
    <cfRule type="expression" dxfId="277" priority="83">
      <formula>SEARCH("Utvikling: ",E10:E21)</formula>
    </cfRule>
    <cfRule type="expression" dxfId="276" priority="84">
      <formula>SEARCH("Teori: ",E10:E21)</formula>
    </cfRule>
    <cfRule type="expression" dxfId="275" priority="85">
      <formula>EVEN(ROW())=ROW()</formula>
    </cfRule>
  </conditionalFormatting>
  <conditionalFormatting sqref="F20 E11:E21 E23:E24">
    <cfRule type="expression" dxfId="274" priority="72">
      <formula>SEARCH("Oppgaver: ",E11:E27)</formula>
    </cfRule>
    <cfRule type="expression" dxfId="273" priority="73">
      <formula>SEARCH("Logg: ",E11:E27)</formula>
    </cfRule>
    <cfRule type="expression" dxfId="272" priority="74">
      <formula>SEARCH("Logg/Oppgaver: ",E11:E27)</formula>
    </cfRule>
    <cfRule type="expression" dxfId="271" priority="75">
      <formula>SEARCH("Administrativt: ",E11:E27)</formula>
    </cfRule>
    <cfRule type="expression" dxfId="270" priority="76">
      <formula>SEARCH("Utvikling: ",E11:E27)</formula>
    </cfRule>
    <cfRule type="expression" dxfId="269" priority="77">
      <formula>SEARCH("Teori: ",E11:E27)</formula>
    </cfRule>
    <cfRule type="expression" dxfId="268" priority="78">
      <formula>EVEN(ROW())=ROW()</formula>
    </cfRule>
  </conditionalFormatting>
  <conditionalFormatting sqref="F18">
    <cfRule type="expression" dxfId="267" priority="65">
      <formula>SEARCH("Oppgaver: ",F18:F34)</formula>
    </cfRule>
    <cfRule type="expression" dxfId="266" priority="66">
      <formula>SEARCH("Logg: ",F18:F34)</formula>
    </cfRule>
    <cfRule type="expression" dxfId="265" priority="67">
      <formula>SEARCH("Logg/Oppgaver: ",F18:F34)</formula>
    </cfRule>
    <cfRule type="expression" dxfId="264" priority="68">
      <formula>SEARCH("Administrativt: ",F18:F34)</formula>
    </cfRule>
    <cfRule type="expression" dxfId="263" priority="69">
      <formula>SEARCH("Utvikling: ",F18:F34)</formula>
    </cfRule>
    <cfRule type="expression" dxfId="262" priority="70">
      <formula>SEARCH("Teori: ",F18:F34)</formula>
    </cfRule>
    <cfRule type="expression" dxfId="261" priority="71">
      <formula>EVEN(ROW())=ROW()</formula>
    </cfRule>
  </conditionalFormatting>
  <conditionalFormatting sqref="F16">
    <cfRule type="expression" dxfId="260" priority="58">
      <formula>SEARCH("Oppgaver: ",F16:F32)</formula>
    </cfRule>
    <cfRule type="expression" dxfId="259" priority="59">
      <formula>SEARCH("Logg: ",F16:F32)</formula>
    </cfRule>
    <cfRule type="expression" dxfId="258" priority="60">
      <formula>SEARCH("Logg/Oppgaver: ",F16:F32)</formula>
    </cfRule>
    <cfRule type="expression" dxfId="257" priority="61">
      <formula>SEARCH("Administrativt: ",F16:F32)</formula>
    </cfRule>
    <cfRule type="expression" dxfId="256" priority="62">
      <formula>SEARCH("Utvikling: ",F16:F32)</formula>
    </cfRule>
    <cfRule type="expression" dxfId="255" priority="63">
      <formula>SEARCH("Teori: ",F16:F32)</formula>
    </cfRule>
    <cfRule type="expression" dxfId="254" priority="64">
      <formula>EVEN(ROW())=ROW()</formula>
    </cfRule>
  </conditionalFormatting>
  <conditionalFormatting sqref="F14">
    <cfRule type="expression" dxfId="253" priority="51">
      <formula>SEARCH("Oppgaver: ",F14:F30)</formula>
    </cfRule>
    <cfRule type="expression" dxfId="252" priority="52">
      <formula>SEARCH("Logg: ",F14:F30)</formula>
    </cfRule>
    <cfRule type="expression" dxfId="251" priority="53">
      <formula>SEARCH("Logg/Oppgaver: ",F14:F30)</formula>
    </cfRule>
    <cfRule type="expression" dxfId="250" priority="54">
      <formula>SEARCH("Administrativt: ",F14:F30)</formula>
    </cfRule>
    <cfRule type="expression" dxfId="249" priority="55">
      <formula>SEARCH("Utvikling: ",F14:F30)</formula>
    </cfRule>
    <cfRule type="expression" dxfId="248" priority="56">
      <formula>SEARCH("Teori: ",F14:F30)</formula>
    </cfRule>
    <cfRule type="expression" dxfId="247" priority="57">
      <formula>EVEN(ROW())=ROW()</formula>
    </cfRule>
  </conditionalFormatting>
  <conditionalFormatting sqref="F12">
    <cfRule type="expression" dxfId="246" priority="44">
      <formula>SEARCH("Oppgaver: ",F12:F28)</formula>
    </cfRule>
    <cfRule type="expression" dxfId="245" priority="45">
      <formula>SEARCH("Logg: ",F12:F28)</formula>
    </cfRule>
    <cfRule type="expression" dxfId="244" priority="46">
      <formula>SEARCH("Logg/Oppgaver: ",F12:F28)</formula>
    </cfRule>
    <cfRule type="expression" dxfId="243" priority="47">
      <formula>SEARCH("Administrativt: ",F12:F28)</formula>
    </cfRule>
    <cfRule type="expression" dxfId="242" priority="48">
      <formula>SEARCH("Utvikling: ",F12:F28)</formula>
    </cfRule>
    <cfRule type="expression" dxfId="241" priority="49">
      <formula>SEARCH("Teori: ",F12:F28)</formula>
    </cfRule>
    <cfRule type="expression" dxfId="240" priority="50">
      <formula>EVEN(ROW())=ROW()</formula>
    </cfRule>
  </conditionalFormatting>
  <conditionalFormatting sqref="F10">
    <cfRule type="expression" dxfId="239" priority="37">
      <formula>SEARCH("Oppgaver: ",F10:F21)</formula>
    </cfRule>
    <cfRule type="expression" dxfId="238" priority="38">
      <formula>SEARCH("Logg: ",F10:F21)</formula>
    </cfRule>
    <cfRule type="expression" dxfId="237" priority="39">
      <formula>SEARCH("Logg/Oppgaver: ",F10:F21)</formula>
    </cfRule>
    <cfRule type="expression" dxfId="236" priority="40">
      <formula>SEARCH("Administrativt: ",F10:F21)</formula>
    </cfRule>
    <cfRule type="expression" dxfId="235" priority="41">
      <formula>SEARCH("Utvikling: ",F10:F21)</formula>
    </cfRule>
    <cfRule type="expression" dxfId="234" priority="42">
      <formula>SEARCH("Teori: ",F10:F21)</formula>
    </cfRule>
    <cfRule type="expression" dxfId="233" priority="43">
      <formula>EVEN(ROW())=ROW()</formula>
    </cfRule>
  </conditionalFormatting>
  <conditionalFormatting sqref="D22">
    <cfRule type="cellIs" dxfId="232" priority="36" operator="equal">
      <formula>0</formula>
    </cfRule>
  </conditionalFormatting>
  <conditionalFormatting sqref="A22:D22">
    <cfRule type="expression" dxfId="231" priority="35">
      <formula>EVEN(ROW())=ROW()</formula>
    </cfRule>
  </conditionalFormatting>
  <conditionalFormatting sqref="E22:F22">
    <cfRule type="expression" dxfId="230" priority="28">
      <formula>SEARCH("Oppgaver: ",E22:E38)</formula>
    </cfRule>
    <cfRule type="expression" dxfId="229" priority="29">
      <formula>SEARCH("Logg: ",E22:E38)</formula>
    </cfRule>
    <cfRule type="expression" dxfId="228" priority="30">
      <formula>SEARCH("Logg/Oppgaver: ",E22:E38)</formula>
    </cfRule>
    <cfRule type="expression" dxfId="227" priority="31">
      <formula>SEARCH("Administrativt: ",E22:E38)</formula>
    </cfRule>
    <cfRule type="expression" dxfId="226" priority="32">
      <formula>SEARCH("Utvikling: ",E22:E38)</formula>
    </cfRule>
    <cfRule type="expression" dxfId="225" priority="33">
      <formula>SEARCH("Teori: ",E22:E38)</formula>
    </cfRule>
    <cfRule type="expression" dxfId="224" priority="34">
      <formula>EVEN(ROW())=ROW()</formula>
    </cfRule>
  </conditionalFormatting>
  <conditionalFormatting sqref="D23:D24">
    <cfRule type="cellIs" dxfId="223" priority="27" operator="equal">
      <formula>0</formula>
    </cfRule>
  </conditionalFormatting>
  <conditionalFormatting sqref="A23:D24">
    <cfRule type="expression" dxfId="222" priority="26">
      <formula>EVEN(ROW())=ROW()</formula>
    </cfRule>
  </conditionalFormatting>
  <conditionalFormatting sqref="E25:E26">
    <cfRule type="expression" dxfId="221" priority="3">
      <formula>SEARCH("Oppgaver: ",E25:E41)</formula>
    </cfRule>
    <cfRule type="expression" dxfId="220" priority="4">
      <formula>SEARCH("Logg: ",E25:E41)</formula>
    </cfRule>
    <cfRule type="expression" dxfId="219" priority="5">
      <formula>SEARCH("Logg/Oppgaver: ",E25:E41)</formula>
    </cfRule>
    <cfRule type="expression" dxfId="218" priority="6">
      <formula>SEARCH("Administrativt: ",E25:E41)</formula>
    </cfRule>
    <cfRule type="expression" dxfId="217" priority="7">
      <formula>SEARCH("Utvikling: ",E25:E41)</formula>
    </cfRule>
    <cfRule type="expression" dxfId="216" priority="8">
      <formula>SEARCH("Teori: ",E25:E41)</formula>
    </cfRule>
    <cfRule type="expression" dxfId="215" priority="9">
      <formula>EVEN(ROW())=ROW()</formula>
    </cfRule>
  </conditionalFormatting>
  <conditionalFormatting sqref="D25:D26">
    <cfRule type="cellIs" dxfId="214" priority="2" operator="equal">
      <formula>0</formula>
    </cfRule>
  </conditionalFormatting>
  <conditionalFormatting sqref="A25:D26">
    <cfRule type="expression" dxfId="213" priority="1">
      <formula>EVEN(ROW())=ROW()</formula>
    </cfRule>
  </conditionalFormatting>
  <dataValidations count="1">
    <dataValidation errorStyle="information" allowBlank="1" showInputMessage="1" sqref="F10 F20 F18 F16 F14 F12 F22 E10:E26" xr:uid="{73A20EFF-14E1-4A5D-958F-04FDA76C9532}"/>
  </dataValidations>
  <pageMargins left="0.25" right="0.25" top="0.75" bottom="0.75" header="0.3" footer="0.3"/>
  <pageSetup paperSize="9" scale="90" fitToHeight="0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FC60B-0E3D-4D7E-B77F-B1C1BDE91B6D}">
  <sheetPr codeName="Sheet8">
    <pageSetUpPr fitToPage="1"/>
  </sheetPr>
  <dimension ref="A1:F32"/>
  <sheetViews>
    <sheetView zoomScale="140" zoomScaleNormal="140" workbookViewId="0">
      <selection activeCell="F10" sqref="F10"/>
    </sheetView>
  </sheetViews>
  <sheetFormatPr baseColWidth="10" defaultColWidth="11.5" defaultRowHeight="15" x14ac:dyDescent="0.2"/>
  <cols>
    <col min="1" max="1" width="21.33203125" customWidth="1"/>
    <col min="2" max="2" width="19.5" customWidth="1"/>
    <col min="3" max="3" width="13.6640625" customWidth="1"/>
    <col min="4" max="4" width="14.6640625" customWidth="1"/>
    <col min="5" max="5" width="29.5" customWidth="1"/>
    <col min="6" max="6" width="9.6640625" customWidth="1"/>
  </cols>
  <sheetData>
    <row r="1" spans="1:6" ht="26" thickTop="1" thickBot="1" x14ac:dyDescent="0.35">
      <c r="A1" s="21" t="s">
        <v>40</v>
      </c>
      <c r="B1" s="10"/>
      <c r="C1" s="22"/>
      <c r="D1" s="11"/>
      <c r="E1" s="11"/>
      <c r="F1" s="23"/>
    </row>
    <row r="2" spans="1:6" ht="17" thickTop="1" thickBot="1" x14ac:dyDescent="0.25"/>
    <row r="3" spans="1:6" ht="33" thickBot="1" x14ac:dyDescent="0.25">
      <c r="A3" s="31" t="s">
        <v>0</v>
      </c>
      <c r="B3" s="30" t="s">
        <v>1</v>
      </c>
      <c r="C3" s="33" t="s">
        <v>2</v>
      </c>
      <c r="D3" s="32" t="s">
        <v>3</v>
      </c>
      <c r="E3" s="29" t="s">
        <v>4</v>
      </c>
    </row>
    <row r="4" spans="1:6" ht="16" thickBot="1" x14ac:dyDescent="0.25">
      <c r="A4" s="35">
        <f>DATE(2021,2,8)</f>
        <v>44235</v>
      </c>
      <c r="B4" s="34">
        <f>A4+6</f>
        <v>44241</v>
      </c>
      <c r="C4" s="56" t="s">
        <v>5</v>
      </c>
      <c r="D4" s="26">
        <f>SUMIF($E$10:$E$26,"Teori: *",$D$10:$D$26)</f>
        <v>0</v>
      </c>
      <c r="E4" s="28">
        <f ca="1">SUM(PrevSheet(E4)+D4)</f>
        <v>3.8194444444444531E-2</v>
      </c>
    </row>
    <row r="5" spans="1:6" ht="33" thickBot="1" x14ac:dyDescent="0.25">
      <c r="A5" s="54" t="str">
        <f>CONCATENATE("Total tid brukt i uke ", MID(A1,37,1))</f>
        <v>Total tid brukt i uke 6</v>
      </c>
      <c r="B5" s="55" t="str">
        <f>CONCATENATE("Total tid prosjekt inntil uke ", MID(A1,37,1))</f>
        <v>Total tid prosjekt inntil uke 6</v>
      </c>
      <c r="C5" s="57" t="s">
        <v>6</v>
      </c>
      <c r="D5" s="26">
        <f>SUMIF($E$10:$E$26,"Utvikling: *",$D$10:$D$26)</f>
        <v>0</v>
      </c>
      <c r="E5" s="28">
        <f ca="1">SUM(PrevSheet(E5)+D5)</f>
        <v>0</v>
      </c>
    </row>
    <row r="6" spans="1:6" ht="16" thickBot="1" x14ac:dyDescent="0.25">
      <c r="A6" s="25">
        <f>SUM($D$4:$D$7)</f>
        <v>0.61944444444444446</v>
      </c>
      <c r="B6" s="24">
        <f ca="1">SUM(PrevSheet(B6)+A6)</f>
        <v>1.6750000000000003</v>
      </c>
      <c r="C6" s="58" t="s">
        <v>7</v>
      </c>
      <c r="D6" s="26">
        <f>SUMIF($E$10:$E$26,"Administrativt: *",$D$10:$D$26)</f>
        <v>9.7916666666666596E-2</v>
      </c>
      <c r="E6" s="28">
        <f ca="1">SUM(PrevSheet(E6)+D6)</f>
        <v>0.26319444444444429</v>
      </c>
    </row>
    <row r="7" spans="1:6" ht="20.75" customHeight="1" thickBot="1" x14ac:dyDescent="0.25">
      <c r="A7" s="9"/>
      <c r="B7" s="4"/>
      <c r="C7" s="59" t="s">
        <v>8</v>
      </c>
      <c r="D7" s="27">
        <f>SUM(SUMIF($E$10:$E$26,"Logg: *",$D$10:$D$26),SUMIF($E$10:$E$26,"Oppgaver: *",$D$10:$D$26),SUMIF($E$10:$E$26,"Logg/Oppgaver: *",$D$10:$D$26),)</f>
        <v>0.52152777777777781</v>
      </c>
      <c r="E7" s="28">
        <f ca="1">SUM(PrevSheet(E7)+D7)</f>
        <v>1.3736111111111113</v>
      </c>
    </row>
    <row r="8" spans="1:6" ht="16" thickBot="1" x14ac:dyDescent="0.25">
      <c r="A8" s="5"/>
      <c r="B8" s="3"/>
      <c r="C8" s="8"/>
      <c r="D8" s="3"/>
      <c r="E8" s="3"/>
      <c r="F8" s="20"/>
    </row>
    <row r="9" spans="1:6" ht="16" thickBot="1" x14ac:dyDescent="0.25">
      <c r="A9" s="6" t="s">
        <v>9</v>
      </c>
      <c r="B9" s="2" t="s">
        <v>10</v>
      </c>
      <c r="C9" s="2" t="s">
        <v>11</v>
      </c>
      <c r="D9" s="2" t="s">
        <v>12</v>
      </c>
      <c r="E9" s="13" t="s">
        <v>13</v>
      </c>
      <c r="F9" s="12" t="s">
        <v>16</v>
      </c>
    </row>
    <row r="10" spans="1:6" x14ac:dyDescent="0.2">
      <c r="A10" s="36">
        <f>DATE(2021,2,8)</f>
        <v>44235</v>
      </c>
      <c r="B10" s="45">
        <v>0.5</v>
      </c>
      <c r="C10" s="45">
        <v>0.69861111111111107</v>
      </c>
      <c r="D10" s="45">
        <f>(C10-B10)</f>
        <v>0.19861111111111107</v>
      </c>
      <c r="E10" s="14" t="s">
        <v>37</v>
      </c>
      <c r="F10" s="40"/>
    </row>
    <row r="11" spans="1:6" x14ac:dyDescent="0.2">
      <c r="A11" s="37">
        <f>DATE(2021,2,9)</f>
        <v>44236</v>
      </c>
      <c r="B11" s="46">
        <v>0.52083333333333337</v>
      </c>
      <c r="C11" s="46">
        <v>0.58333333333333337</v>
      </c>
      <c r="D11" s="46">
        <f>(C11-B11)</f>
        <v>6.25E-2</v>
      </c>
      <c r="E11" s="15" t="s">
        <v>41</v>
      </c>
      <c r="F11" s="41" t="s">
        <v>38</v>
      </c>
    </row>
    <row r="12" spans="1:6" x14ac:dyDescent="0.2">
      <c r="A12" s="38">
        <f>DATE(2021,2,9)</f>
        <v>44236</v>
      </c>
      <c r="B12" s="47">
        <v>0.58333333333333337</v>
      </c>
      <c r="C12" s="47">
        <v>0.61111111111111105</v>
      </c>
      <c r="D12" s="47">
        <f>(C12-B12)</f>
        <v>2.7777777777777679E-2</v>
      </c>
      <c r="E12" s="16" t="s">
        <v>42</v>
      </c>
      <c r="F12" s="40"/>
    </row>
    <row r="13" spans="1:6" ht="19.25" customHeight="1" x14ac:dyDescent="0.2">
      <c r="A13" s="42">
        <f>DATE(2021,2,9)</f>
        <v>44236</v>
      </c>
      <c r="B13" s="48">
        <v>0.61805555555555558</v>
      </c>
      <c r="C13" s="48">
        <v>0.71111111111111114</v>
      </c>
      <c r="D13" s="51">
        <f t="shared" ref="D13:D26" si="0">(C13-B13)</f>
        <v>9.3055555555555558E-2</v>
      </c>
      <c r="E13" s="15" t="s">
        <v>43</v>
      </c>
      <c r="F13" s="41" t="s">
        <v>38</v>
      </c>
    </row>
    <row r="14" spans="1:6" x14ac:dyDescent="0.2">
      <c r="A14" s="43">
        <f>DATE(2021,2,10)</f>
        <v>44237</v>
      </c>
      <c r="B14" s="49">
        <v>0.51041666666666663</v>
      </c>
      <c r="C14" s="49">
        <v>0.54166666666666663</v>
      </c>
      <c r="D14" s="47">
        <f t="shared" si="0"/>
        <v>3.125E-2</v>
      </c>
      <c r="E14" s="17" t="s">
        <v>37</v>
      </c>
      <c r="F14" s="40" t="s">
        <v>38</v>
      </c>
    </row>
    <row r="15" spans="1:6" x14ac:dyDescent="0.2">
      <c r="A15" s="42">
        <f>DATE(2021,2,11)</f>
        <v>44238</v>
      </c>
      <c r="B15" s="48">
        <v>0.48472222222222222</v>
      </c>
      <c r="C15" s="48">
        <v>0.5</v>
      </c>
      <c r="D15" s="52">
        <f t="shared" si="0"/>
        <v>1.5277777777777779E-2</v>
      </c>
      <c r="E15" s="18" t="s">
        <v>44</v>
      </c>
      <c r="F15" s="41" t="s">
        <v>38</v>
      </c>
    </row>
    <row r="16" spans="1:6" x14ac:dyDescent="0.2">
      <c r="A16" s="39">
        <f>DATE(2021,2,11)</f>
        <v>44238</v>
      </c>
      <c r="B16" s="49">
        <v>0.5</v>
      </c>
      <c r="C16" s="49">
        <v>0.5493055555555556</v>
      </c>
      <c r="D16" s="47">
        <f t="shared" si="0"/>
        <v>4.9305555555555602E-2</v>
      </c>
      <c r="E16" s="17" t="s">
        <v>45</v>
      </c>
      <c r="F16" s="40"/>
    </row>
    <row r="17" spans="1:6" x14ac:dyDescent="0.2">
      <c r="A17" s="42">
        <f>DATE(2021,2,11)</f>
        <v>44238</v>
      </c>
      <c r="B17" s="48">
        <v>0.5493055555555556</v>
      </c>
      <c r="C17" s="48">
        <v>0.58333333333333337</v>
      </c>
      <c r="D17" s="52">
        <f t="shared" si="0"/>
        <v>3.4027777777777768E-2</v>
      </c>
      <c r="E17" s="18" t="s">
        <v>46</v>
      </c>
      <c r="F17" s="41"/>
    </row>
    <row r="18" spans="1:6" x14ac:dyDescent="0.2">
      <c r="A18" s="39">
        <f>DATE(2021,2,12)</f>
        <v>44239</v>
      </c>
      <c r="B18" s="49">
        <v>0.41666666666666669</v>
      </c>
      <c r="C18" s="49">
        <v>0.4375</v>
      </c>
      <c r="D18" s="47">
        <f t="shared" si="0"/>
        <v>2.0833333333333315E-2</v>
      </c>
      <c r="E18" s="17" t="s">
        <v>47</v>
      </c>
      <c r="F18" s="40"/>
    </row>
    <row r="19" spans="1:6" x14ac:dyDescent="0.2">
      <c r="A19" s="42">
        <f>DATE(2021,2,14)</f>
        <v>44241</v>
      </c>
      <c r="B19" s="48">
        <v>0.5</v>
      </c>
      <c r="C19" s="48">
        <v>0.58680555555555558</v>
      </c>
      <c r="D19" s="52">
        <f t="shared" si="0"/>
        <v>8.680555555555558E-2</v>
      </c>
      <c r="E19" s="18" t="s">
        <v>37</v>
      </c>
      <c r="F19" s="41" t="s">
        <v>38</v>
      </c>
    </row>
    <row r="20" spans="1:6" x14ac:dyDescent="0.2">
      <c r="A20" s="39"/>
      <c r="B20" s="49"/>
      <c r="C20" s="49"/>
      <c r="D20" s="47">
        <f t="shared" si="0"/>
        <v>0</v>
      </c>
      <c r="E20" s="17"/>
      <c r="F20" s="40"/>
    </row>
    <row r="21" spans="1:6" ht="16" thickBot="1" x14ac:dyDescent="0.25">
      <c r="A21" s="44"/>
      <c r="B21" s="61"/>
      <c r="C21" s="61"/>
      <c r="D21" s="53">
        <f t="shared" si="0"/>
        <v>0</v>
      </c>
      <c r="E21" s="19"/>
      <c r="F21" s="60"/>
    </row>
    <row r="22" spans="1:6" x14ac:dyDescent="0.2">
      <c r="A22" s="39"/>
      <c r="B22" s="49"/>
      <c r="C22" s="49"/>
      <c r="D22" s="47">
        <f t="shared" si="0"/>
        <v>0</v>
      </c>
      <c r="E22" s="17"/>
      <c r="F22" s="40"/>
    </row>
    <row r="23" spans="1:6" ht="16" thickBot="1" x14ac:dyDescent="0.25">
      <c r="A23" s="44"/>
      <c r="B23" s="61"/>
      <c r="C23" s="61"/>
      <c r="D23" s="53">
        <f t="shared" si="0"/>
        <v>0</v>
      </c>
      <c r="E23" s="19"/>
      <c r="F23" s="60"/>
    </row>
    <row r="24" spans="1:6" ht="16" thickBot="1" x14ac:dyDescent="0.25">
      <c r="A24" s="44"/>
      <c r="B24" s="61"/>
      <c r="C24" s="61"/>
      <c r="D24" s="53">
        <f t="shared" si="0"/>
        <v>0</v>
      </c>
      <c r="E24" s="19"/>
      <c r="F24" s="60"/>
    </row>
    <row r="25" spans="1:6" ht="16" thickBot="1" x14ac:dyDescent="0.25">
      <c r="A25" s="44"/>
      <c r="B25" s="61"/>
      <c r="C25" s="61"/>
      <c r="D25" s="53">
        <f t="shared" si="0"/>
        <v>0</v>
      </c>
      <c r="E25" s="19"/>
      <c r="F25" s="60"/>
    </row>
    <row r="26" spans="1:6" ht="16" thickBot="1" x14ac:dyDescent="0.25">
      <c r="A26" s="44"/>
      <c r="B26" s="61"/>
      <c r="C26" s="61"/>
      <c r="D26" s="53">
        <f t="shared" si="0"/>
        <v>0</v>
      </c>
      <c r="E26" s="19"/>
      <c r="F26" s="60"/>
    </row>
    <row r="27" spans="1:6" ht="22" thickBot="1" x14ac:dyDescent="0.3">
      <c r="A27" s="7" t="s">
        <v>14</v>
      </c>
      <c r="B27" s="1"/>
      <c r="C27" s="1"/>
      <c r="D27" s="1"/>
      <c r="E27" s="1"/>
    </row>
    <row r="28" spans="1:6" x14ac:dyDescent="0.2">
      <c r="A28" s="1"/>
      <c r="B28" s="1"/>
      <c r="C28" s="1"/>
      <c r="D28" s="1"/>
      <c r="E28" s="1"/>
    </row>
    <row r="29" spans="1:6" x14ac:dyDescent="0.2">
      <c r="A29" s="1"/>
      <c r="B29" s="1"/>
      <c r="C29" s="1"/>
      <c r="D29" s="1"/>
      <c r="E29" s="1"/>
    </row>
    <row r="30" spans="1:6" x14ac:dyDescent="0.2">
      <c r="A30" s="1"/>
      <c r="B30" s="1"/>
      <c r="C30" s="1"/>
      <c r="D30" s="1"/>
      <c r="E30" s="1"/>
    </row>
    <row r="31" spans="1:6" x14ac:dyDescent="0.2">
      <c r="A31" s="1"/>
      <c r="B31" s="1"/>
      <c r="C31" s="1"/>
      <c r="D31" s="1"/>
      <c r="E31" s="1"/>
    </row>
    <row r="32" spans="1:6" x14ac:dyDescent="0.2">
      <c r="A32" s="1"/>
      <c r="B32" s="1"/>
      <c r="C32" s="1"/>
      <c r="D32" s="1"/>
      <c r="E32" s="1"/>
    </row>
  </sheetData>
  <conditionalFormatting sqref="D10:D21">
    <cfRule type="cellIs" dxfId="212" priority="71" operator="equal">
      <formula>0</formula>
    </cfRule>
  </conditionalFormatting>
  <conditionalFormatting sqref="A10:D21">
    <cfRule type="expression" dxfId="211" priority="70">
      <formula>EVEN(ROW())=ROW()</formula>
    </cfRule>
  </conditionalFormatting>
  <conditionalFormatting sqref="E10">
    <cfRule type="expression" dxfId="210" priority="63">
      <formula>SEARCH("Oppgaver: ",E10:E21)</formula>
    </cfRule>
    <cfRule type="expression" dxfId="209" priority="64">
      <formula>SEARCH("Logg: ",E10:E21)</formula>
    </cfRule>
    <cfRule type="expression" dxfId="208" priority="65">
      <formula>SEARCH("Logg/Oppgaver: ",E10:E21)</formula>
    </cfRule>
    <cfRule type="expression" dxfId="207" priority="66">
      <formula>SEARCH("Administrativt: ",E10:E21)</formula>
    </cfRule>
    <cfRule type="expression" dxfId="206" priority="67">
      <formula>SEARCH("Utvikling: ",E10:E21)</formula>
    </cfRule>
    <cfRule type="expression" dxfId="205" priority="68">
      <formula>SEARCH("Teori: ",E10:E21)</formula>
    </cfRule>
    <cfRule type="expression" dxfId="204" priority="69">
      <formula>EVEN(ROW())=ROW()</formula>
    </cfRule>
  </conditionalFormatting>
  <conditionalFormatting sqref="F20 E11:E21 E23:E24">
    <cfRule type="expression" dxfId="203" priority="56">
      <formula>SEARCH("Oppgaver: ",E11:E27)</formula>
    </cfRule>
    <cfRule type="expression" dxfId="202" priority="57">
      <formula>SEARCH("Logg: ",E11:E27)</formula>
    </cfRule>
    <cfRule type="expression" dxfId="201" priority="58">
      <formula>SEARCH("Logg/Oppgaver: ",E11:E27)</formula>
    </cfRule>
    <cfRule type="expression" dxfId="200" priority="59">
      <formula>SEARCH("Administrativt: ",E11:E27)</formula>
    </cfRule>
    <cfRule type="expression" dxfId="199" priority="60">
      <formula>SEARCH("Utvikling: ",E11:E27)</formula>
    </cfRule>
    <cfRule type="expression" dxfId="198" priority="61">
      <formula>SEARCH("Teori: ",E11:E27)</formula>
    </cfRule>
    <cfRule type="expression" dxfId="197" priority="62">
      <formula>EVEN(ROW())=ROW()</formula>
    </cfRule>
  </conditionalFormatting>
  <conditionalFormatting sqref="F18">
    <cfRule type="expression" dxfId="196" priority="49">
      <formula>SEARCH("Oppgaver: ",F18:F34)</formula>
    </cfRule>
    <cfRule type="expression" dxfId="195" priority="50">
      <formula>SEARCH("Logg: ",F18:F34)</formula>
    </cfRule>
    <cfRule type="expression" dxfId="194" priority="51">
      <formula>SEARCH("Logg/Oppgaver: ",F18:F34)</formula>
    </cfRule>
    <cfRule type="expression" dxfId="193" priority="52">
      <formula>SEARCH("Administrativt: ",F18:F34)</formula>
    </cfRule>
    <cfRule type="expression" dxfId="192" priority="53">
      <formula>SEARCH("Utvikling: ",F18:F34)</formula>
    </cfRule>
    <cfRule type="expression" dxfId="191" priority="54">
      <formula>SEARCH("Teori: ",F18:F34)</formula>
    </cfRule>
    <cfRule type="expression" dxfId="190" priority="55">
      <formula>EVEN(ROW())=ROW()</formula>
    </cfRule>
  </conditionalFormatting>
  <conditionalFormatting sqref="F16">
    <cfRule type="expression" dxfId="189" priority="42">
      <formula>SEARCH("Oppgaver: ",F16:F32)</formula>
    </cfRule>
    <cfRule type="expression" dxfId="188" priority="43">
      <formula>SEARCH("Logg: ",F16:F32)</formula>
    </cfRule>
    <cfRule type="expression" dxfId="187" priority="44">
      <formula>SEARCH("Logg/Oppgaver: ",F16:F32)</formula>
    </cfRule>
    <cfRule type="expression" dxfId="186" priority="45">
      <formula>SEARCH("Administrativt: ",F16:F32)</formula>
    </cfRule>
    <cfRule type="expression" dxfId="185" priority="46">
      <formula>SEARCH("Utvikling: ",F16:F32)</formula>
    </cfRule>
    <cfRule type="expression" dxfId="184" priority="47">
      <formula>SEARCH("Teori: ",F16:F32)</formula>
    </cfRule>
    <cfRule type="expression" dxfId="183" priority="48">
      <formula>EVEN(ROW())=ROW()</formula>
    </cfRule>
  </conditionalFormatting>
  <conditionalFormatting sqref="F14">
    <cfRule type="expression" dxfId="182" priority="35">
      <formula>SEARCH("Oppgaver: ",F14:F30)</formula>
    </cfRule>
    <cfRule type="expression" dxfId="181" priority="36">
      <formula>SEARCH("Logg: ",F14:F30)</formula>
    </cfRule>
    <cfRule type="expression" dxfId="180" priority="37">
      <formula>SEARCH("Logg/Oppgaver: ",F14:F30)</formula>
    </cfRule>
    <cfRule type="expression" dxfId="179" priority="38">
      <formula>SEARCH("Administrativt: ",F14:F30)</formula>
    </cfRule>
    <cfRule type="expression" dxfId="178" priority="39">
      <formula>SEARCH("Utvikling: ",F14:F30)</formula>
    </cfRule>
    <cfRule type="expression" dxfId="177" priority="40">
      <formula>SEARCH("Teori: ",F14:F30)</formula>
    </cfRule>
    <cfRule type="expression" dxfId="176" priority="41">
      <formula>EVEN(ROW())=ROW()</formula>
    </cfRule>
  </conditionalFormatting>
  <conditionalFormatting sqref="F12">
    <cfRule type="expression" dxfId="175" priority="28">
      <formula>SEARCH("Oppgaver: ",F12:F28)</formula>
    </cfRule>
    <cfRule type="expression" dxfId="174" priority="29">
      <formula>SEARCH("Logg: ",F12:F28)</formula>
    </cfRule>
    <cfRule type="expression" dxfId="173" priority="30">
      <formula>SEARCH("Logg/Oppgaver: ",F12:F28)</formula>
    </cfRule>
    <cfRule type="expression" dxfId="172" priority="31">
      <formula>SEARCH("Administrativt: ",F12:F28)</formula>
    </cfRule>
    <cfRule type="expression" dxfId="171" priority="32">
      <formula>SEARCH("Utvikling: ",F12:F28)</formula>
    </cfRule>
    <cfRule type="expression" dxfId="170" priority="33">
      <formula>SEARCH("Teori: ",F12:F28)</formula>
    </cfRule>
    <cfRule type="expression" dxfId="169" priority="34">
      <formula>EVEN(ROW())=ROW()</formula>
    </cfRule>
  </conditionalFormatting>
  <conditionalFormatting sqref="F10">
    <cfRule type="expression" dxfId="168" priority="21">
      <formula>SEARCH("Oppgaver: ",F10:F21)</formula>
    </cfRule>
    <cfRule type="expression" dxfId="167" priority="22">
      <formula>SEARCH("Logg: ",F10:F21)</formula>
    </cfRule>
    <cfRule type="expression" dxfId="166" priority="23">
      <formula>SEARCH("Logg/Oppgaver: ",F10:F21)</formula>
    </cfRule>
    <cfRule type="expression" dxfId="165" priority="24">
      <formula>SEARCH("Administrativt: ",F10:F21)</formula>
    </cfRule>
    <cfRule type="expression" dxfId="164" priority="25">
      <formula>SEARCH("Utvikling: ",F10:F21)</formula>
    </cfRule>
    <cfRule type="expression" dxfId="163" priority="26">
      <formula>SEARCH("Teori: ",F10:F21)</formula>
    </cfRule>
    <cfRule type="expression" dxfId="162" priority="27">
      <formula>EVEN(ROW())=ROW()</formula>
    </cfRule>
  </conditionalFormatting>
  <conditionalFormatting sqref="D22">
    <cfRule type="cellIs" dxfId="161" priority="20" operator="equal">
      <formula>0</formula>
    </cfRule>
  </conditionalFormatting>
  <conditionalFormatting sqref="A22:D22">
    <cfRule type="expression" dxfId="160" priority="19">
      <formula>EVEN(ROW())=ROW()</formula>
    </cfRule>
  </conditionalFormatting>
  <conditionalFormatting sqref="E22:F22">
    <cfRule type="expression" dxfId="159" priority="12">
      <formula>SEARCH("Oppgaver: ",E22:E38)</formula>
    </cfRule>
    <cfRule type="expression" dxfId="158" priority="13">
      <formula>SEARCH("Logg: ",E22:E38)</formula>
    </cfRule>
    <cfRule type="expression" dxfId="157" priority="14">
      <formula>SEARCH("Logg/Oppgaver: ",E22:E38)</formula>
    </cfRule>
    <cfRule type="expression" dxfId="156" priority="15">
      <formula>SEARCH("Administrativt: ",E22:E38)</formula>
    </cfRule>
    <cfRule type="expression" dxfId="155" priority="16">
      <formula>SEARCH("Utvikling: ",E22:E38)</formula>
    </cfRule>
    <cfRule type="expression" dxfId="154" priority="17">
      <formula>SEARCH("Teori: ",E22:E38)</formula>
    </cfRule>
    <cfRule type="expression" dxfId="153" priority="18">
      <formula>EVEN(ROW())=ROW()</formula>
    </cfRule>
  </conditionalFormatting>
  <conditionalFormatting sqref="D23:D24">
    <cfRule type="cellIs" dxfId="152" priority="11" operator="equal">
      <formula>0</formula>
    </cfRule>
  </conditionalFormatting>
  <conditionalFormatting sqref="A23:D24">
    <cfRule type="expression" dxfId="151" priority="10">
      <formula>EVEN(ROW())=ROW()</formula>
    </cfRule>
  </conditionalFormatting>
  <conditionalFormatting sqref="E25:E26">
    <cfRule type="expression" dxfId="150" priority="3">
      <formula>SEARCH("Oppgaver: ",E25:E41)</formula>
    </cfRule>
    <cfRule type="expression" dxfId="149" priority="4">
      <formula>SEARCH("Logg: ",E25:E41)</formula>
    </cfRule>
    <cfRule type="expression" dxfId="148" priority="5">
      <formula>SEARCH("Logg/Oppgaver: ",E25:E41)</formula>
    </cfRule>
    <cfRule type="expression" dxfId="147" priority="6">
      <formula>SEARCH("Administrativt: ",E25:E41)</formula>
    </cfRule>
    <cfRule type="expression" dxfId="146" priority="7">
      <formula>SEARCH("Utvikling: ",E25:E41)</formula>
    </cfRule>
    <cfRule type="expression" dxfId="145" priority="8">
      <formula>SEARCH("Teori: ",E25:E41)</formula>
    </cfRule>
    <cfRule type="expression" dxfId="144" priority="9">
      <formula>EVEN(ROW())=ROW()</formula>
    </cfRule>
  </conditionalFormatting>
  <conditionalFormatting sqref="D25:D26">
    <cfRule type="cellIs" dxfId="143" priority="2" operator="equal">
      <formula>0</formula>
    </cfRule>
  </conditionalFormatting>
  <conditionalFormatting sqref="A25:D26">
    <cfRule type="expression" dxfId="142" priority="1">
      <formula>EVEN(ROW())=ROW()</formula>
    </cfRule>
  </conditionalFormatting>
  <dataValidations count="1">
    <dataValidation errorStyle="information" allowBlank="1" showInputMessage="1" sqref="F10 F20 F18 F16 F14 F12 F22 E10:E26" xr:uid="{E054547A-05CF-436F-861A-34AFBA65C5D9}"/>
  </dataValidations>
  <pageMargins left="0.25" right="0.25" top="0.75" bottom="0.75" header="0.3" footer="0.3"/>
  <pageSetup paperSize="9" scale="90" fitToHeight="0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20D33-0ACE-4038-8126-AA1191D0B88F}">
  <sheetPr codeName="Sheet9">
    <pageSetUpPr fitToPage="1"/>
  </sheetPr>
  <dimension ref="A1:F32"/>
  <sheetViews>
    <sheetView zoomScale="140" zoomScaleNormal="140" workbookViewId="0">
      <selection activeCell="F16" sqref="F16"/>
    </sheetView>
  </sheetViews>
  <sheetFormatPr baseColWidth="10" defaultColWidth="11.5" defaultRowHeight="15" x14ac:dyDescent="0.2"/>
  <cols>
    <col min="1" max="1" width="21.33203125" customWidth="1"/>
    <col min="2" max="2" width="21.5" customWidth="1"/>
    <col min="3" max="3" width="13.6640625" customWidth="1"/>
    <col min="4" max="4" width="14.6640625" customWidth="1"/>
    <col min="5" max="5" width="29.5" customWidth="1"/>
    <col min="6" max="6" width="9.6640625" customWidth="1"/>
  </cols>
  <sheetData>
    <row r="1" spans="1:6" ht="26" thickTop="1" thickBot="1" x14ac:dyDescent="0.35">
      <c r="A1" s="21" t="s">
        <v>48</v>
      </c>
      <c r="B1" s="10"/>
      <c r="C1" s="22"/>
      <c r="D1" s="11"/>
      <c r="E1" s="11"/>
      <c r="F1" s="23"/>
    </row>
    <row r="2" spans="1:6" ht="17" thickTop="1" thickBot="1" x14ac:dyDescent="0.25"/>
    <row r="3" spans="1:6" ht="33" thickBot="1" x14ac:dyDescent="0.25">
      <c r="A3" s="31" t="s">
        <v>0</v>
      </c>
      <c r="B3" s="30" t="s">
        <v>1</v>
      </c>
      <c r="C3" s="33" t="s">
        <v>2</v>
      </c>
      <c r="D3" s="32" t="s">
        <v>3</v>
      </c>
      <c r="E3" s="29" t="s">
        <v>4</v>
      </c>
    </row>
    <row r="4" spans="1:6" ht="16" thickBot="1" x14ac:dyDescent="0.25">
      <c r="A4" s="35">
        <f>DATE(2021,2,15)</f>
        <v>44242</v>
      </c>
      <c r="B4" s="34">
        <f>A4+6</f>
        <v>44248</v>
      </c>
      <c r="C4" s="56" t="s">
        <v>5</v>
      </c>
      <c r="D4" s="26">
        <f>SUMIF($E$10:$E$26,"Teori: *",$D$10:$D$26)</f>
        <v>0.10694444444444429</v>
      </c>
      <c r="E4" s="28">
        <f ca="1">SUM(PrevSheet(E4)+D4)</f>
        <v>0.14513888888888882</v>
      </c>
    </row>
    <row r="5" spans="1:6" ht="33" thickBot="1" x14ac:dyDescent="0.25">
      <c r="A5" s="54" t="str">
        <f>CONCATENATE("Total tid brukt i uke ", MID(A1,37,1))</f>
        <v>Total tid brukt i uke 7</v>
      </c>
      <c r="B5" s="55" t="str">
        <f>CONCATENATE("Total tid prosjekt inntil uke ", MID(A1,37,1))</f>
        <v>Total tid prosjekt inntil uke 7</v>
      </c>
      <c r="C5" s="57" t="s">
        <v>6</v>
      </c>
      <c r="D5" s="26">
        <f>SUMIF($E$10:$E$26,"Utvikling: *",$D$10:$D$26)</f>
        <v>0</v>
      </c>
      <c r="E5" s="28">
        <f ca="1">SUM(PrevSheet(E5)+D5)</f>
        <v>0</v>
      </c>
    </row>
    <row r="6" spans="1:6" ht="16" thickBot="1" x14ac:dyDescent="0.25">
      <c r="A6" s="25">
        <f>SUM($D$4:$D$7)</f>
        <v>0.40416666666666662</v>
      </c>
      <c r="B6" s="24">
        <f ca="1">SUM(PrevSheet(B6)+A6)</f>
        <v>2.0791666666666671</v>
      </c>
      <c r="C6" s="58" t="s">
        <v>7</v>
      </c>
      <c r="D6" s="26">
        <f>SUMIF($E$10:$E$26,"Administrativt: *",$D$10:$D$26)</f>
        <v>3.4722222222222265E-2</v>
      </c>
      <c r="E6" s="28">
        <f ca="1">SUM(PrevSheet(E6)+D6)</f>
        <v>0.29791666666666655</v>
      </c>
    </row>
    <row r="7" spans="1:6" ht="20.75" customHeight="1" thickBot="1" x14ac:dyDescent="0.25">
      <c r="A7" s="9"/>
      <c r="B7" s="4"/>
      <c r="C7" s="59" t="s">
        <v>8</v>
      </c>
      <c r="D7" s="27">
        <f>SUM(SUMIF($E$10:$E$26,"Logg: *",$D$10:$D$26),SUMIF($E$10:$E$26,"Oppgaver: *",$D$10:$D$26),SUMIF($E$10:$E$26,"Logg/Oppgaver: *",$D$10:$D$26),)</f>
        <v>0.26250000000000007</v>
      </c>
      <c r="E7" s="28">
        <f ca="1">SUM(PrevSheet(E7)+D7)</f>
        <v>1.6361111111111115</v>
      </c>
    </row>
    <row r="8" spans="1:6" ht="16" thickBot="1" x14ac:dyDescent="0.25">
      <c r="A8" s="5"/>
      <c r="B8" s="3"/>
      <c r="C8" s="8"/>
      <c r="D8" s="3"/>
      <c r="E8" s="3"/>
      <c r="F8" s="20"/>
    </row>
    <row r="9" spans="1:6" ht="16" thickBot="1" x14ac:dyDescent="0.25">
      <c r="A9" s="6" t="s">
        <v>9</v>
      </c>
      <c r="B9" s="2" t="s">
        <v>10</v>
      </c>
      <c r="C9" s="2" t="s">
        <v>11</v>
      </c>
      <c r="D9" s="2" t="s">
        <v>12</v>
      </c>
      <c r="E9" s="13" t="s">
        <v>13</v>
      </c>
      <c r="F9" s="12" t="s">
        <v>16</v>
      </c>
    </row>
    <row r="10" spans="1:6" x14ac:dyDescent="0.2">
      <c r="A10" s="36">
        <f>DATE(2021,2,15)</f>
        <v>44242</v>
      </c>
      <c r="B10" s="45">
        <v>0.54166666666666663</v>
      </c>
      <c r="C10" s="45">
        <v>0.66666666666666663</v>
      </c>
      <c r="D10" s="45">
        <f>(C10-B10)</f>
        <v>0.125</v>
      </c>
      <c r="E10" s="14" t="s">
        <v>37</v>
      </c>
      <c r="F10" s="40" t="s">
        <v>38</v>
      </c>
    </row>
    <row r="11" spans="1:6" x14ac:dyDescent="0.2">
      <c r="A11" s="37">
        <f>DATE(2021,2,16)</f>
        <v>44243</v>
      </c>
      <c r="B11" s="46">
        <v>0.57222222222222219</v>
      </c>
      <c r="C11" s="46">
        <v>0.64583333333333337</v>
      </c>
      <c r="D11" s="46">
        <f>(C11-B11)</f>
        <v>7.3611111111111183E-2</v>
      </c>
      <c r="E11" s="15" t="s">
        <v>37</v>
      </c>
      <c r="F11" s="41" t="s">
        <v>38</v>
      </c>
    </row>
    <row r="12" spans="1:6" x14ac:dyDescent="0.2">
      <c r="A12" s="38">
        <f>DATE(2021,2,17)</f>
        <v>44244</v>
      </c>
      <c r="B12" s="47">
        <v>0.56111111111111112</v>
      </c>
      <c r="C12" s="47">
        <v>0.625</v>
      </c>
      <c r="D12" s="47">
        <f>(C12-B12)</f>
        <v>6.3888888888888884E-2</v>
      </c>
      <c r="E12" s="16" t="s">
        <v>37</v>
      </c>
      <c r="F12" s="40" t="s">
        <v>38</v>
      </c>
    </row>
    <row r="13" spans="1:6" ht="19.25" customHeight="1" x14ac:dyDescent="0.2">
      <c r="A13" s="42">
        <f>DATE(2021,2,18)</f>
        <v>44245</v>
      </c>
      <c r="B13" s="48">
        <v>0.72222222222222221</v>
      </c>
      <c r="C13" s="48">
        <v>0.78472222222222221</v>
      </c>
      <c r="D13" s="51">
        <f t="shared" ref="D13:D26" si="0">(C13-B13)</f>
        <v>6.25E-2</v>
      </c>
      <c r="E13" s="15" t="s">
        <v>49</v>
      </c>
      <c r="F13" s="41" t="s">
        <v>52</v>
      </c>
    </row>
    <row r="14" spans="1:6" x14ac:dyDescent="0.2">
      <c r="A14" s="43">
        <f>DATE(2021,2,18)</f>
        <v>44245</v>
      </c>
      <c r="B14" s="49">
        <v>0.91041666666666676</v>
      </c>
      <c r="C14" s="49">
        <v>0.91666666666666663</v>
      </c>
      <c r="D14" s="47">
        <f t="shared" si="0"/>
        <v>6.2499999999998668E-3</v>
      </c>
      <c r="E14" s="17" t="s">
        <v>50</v>
      </c>
      <c r="F14" s="40" t="s">
        <v>52</v>
      </c>
    </row>
    <row r="15" spans="1:6" x14ac:dyDescent="0.2">
      <c r="A15" s="42">
        <f>DATE(2021,2,19)</f>
        <v>44246</v>
      </c>
      <c r="B15" s="48">
        <v>0.45833333333333331</v>
      </c>
      <c r="C15" s="48">
        <v>0.49305555555555558</v>
      </c>
      <c r="D15" s="52">
        <f t="shared" si="0"/>
        <v>3.4722222222222265E-2</v>
      </c>
      <c r="E15" s="18" t="s">
        <v>51</v>
      </c>
      <c r="F15" s="41" t="s">
        <v>52</v>
      </c>
    </row>
    <row r="16" spans="1:6" x14ac:dyDescent="0.2">
      <c r="A16" s="39">
        <f>DATE(2021,2,19)</f>
        <v>44246</v>
      </c>
      <c r="B16" s="49">
        <v>0.50347222222222221</v>
      </c>
      <c r="C16" s="49">
        <v>0.54166666666666663</v>
      </c>
      <c r="D16" s="47">
        <f t="shared" si="0"/>
        <v>3.819444444444442E-2</v>
      </c>
      <c r="E16" s="17" t="s">
        <v>50</v>
      </c>
      <c r="F16" s="40" t="s">
        <v>52</v>
      </c>
    </row>
    <row r="17" spans="1:6" x14ac:dyDescent="0.2">
      <c r="A17" s="42"/>
      <c r="B17" s="48"/>
      <c r="C17" s="48"/>
      <c r="D17" s="52">
        <f t="shared" si="0"/>
        <v>0</v>
      </c>
      <c r="E17" s="18"/>
      <c r="F17" s="41"/>
    </row>
    <row r="18" spans="1:6" x14ac:dyDescent="0.2">
      <c r="A18" s="39"/>
      <c r="B18" s="49"/>
      <c r="C18" s="49"/>
      <c r="D18" s="47">
        <f t="shared" si="0"/>
        <v>0</v>
      </c>
      <c r="E18" s="17"/>
      <c r="F18" s="40"/>
    </row>
    <row r="19" spans="1:6" x14ac:dyDescent="0.2">
      <c r="A19" s="42"/>
      <c r="B19" s="48"/>
      <c r="C19" s="48"/>
      <c r="D19" s="52">
        <f t="shared" si="0"/>
        <v>0</v>
      </c>
      <c r="E19" s="18"/>
      <c r="F19" s="41"/>
    </row>
    <row r="20" spans="1:6" x14ac:dyDescent="0.2">
      <c r="A20" s="39"/>
      <c r="B20" s="49"/>
      <c r="C20" s="49"/>
      <c r="D20" s="47">
        <f t="shared" si="0"/>
        <v>0</v>
      </c>
      <c r="E20" s="17"/>
      <c r="F20" s="40"/>
    </row>
    <row r="21" spans="1:6" ht="16" thickBot="1" x14ac:dyDescent="0.25">
      <c r="A21" s="44"/>
      <c r="B21" s="61"/>
      <c r="C21" s="61"/>
      <c r="D21" s="53">
        <f t="shared" si="0"/>
        <v>0</v>
      </c>
      <c r="E21" s="19"/>
      <c r="F21" s="60"/>
    </row>
    <row r="22" spans="1:6" x14ac:dyDescent="0.2">
      <c r="A22" s="39"/>
      <c r="B22" s="49"/>
      <c r="C22" s="49"/>
      <c r="D22" s="47">
        <f t="shared" si="0"/>
        <v>0</v>
      </c>
      <c r="E22" s="17"/>
      <c r="F22" s="40"/>
    </row>
    <row r="23" spans="1:6" ht="16" thickBot="1" x14ac:dyDescent="0.25">
      <c r="A23" s="44"/>
      <c r="B23" s="61"/>
      <c r="C23" s="61"/>
      <c r="D23" s="53">
        <f t="shared" si="0"/>
        <v>0</v>
      </c>
      <c r="E23" s="19"/>
      <c r="F23" s="60"/>
    </row>
    <row r="24" spans="1:6" ht="16" thickBot="1" x14ac:dyDescent="0.25">
      <c r="A24" s="44"/>
      <c r="B24" s="61"/>
      <c r="C24" s="61"/>
      <c r="D24" s="53">
        <f t="shared" si="0"/>
        <v>0</v>
      </c>
      <c r="E24" s="19"/>
      <c r="F24" s="60"/>
    </row>
    <row r="25" spans="1:6" ht="16" thickBot="1" x14ac:dyDescent="0.25">
      <c r="A25" s="44"/>
      <c r="B25" s="61"/>
      <c r="C25" s="61"/>
      <c r="D25" s="53">
        <f t="shared" si="0"/>
        <v>0</v>
      </c>
      <c r="E25" s="19"/>
      <c r="F25" s="60"/>
    </row>
    <row r="26" spans="1:6" ht="16" thickBot="1" x14ac:dyDescent="0.25">
      <c r="A26" s="44"/>
      <c r="B26" s="61"/>
      <c r="C26" s="61"/>
      <c r="D26" s="53">
        <f t="shared" si="0"/>
        <v>0</v>
      </c>
      <c r="E26" s="19"/>
      <c r="F26" s="60"/>
    </row>
    <row r="27" spans="1:6" ht="22" thickBot="1" x14ac:dyDescent="0.3">
      <c r="A27" s="7" t="s">
        <v>14</v>
      </c>
      <c r="B27" s="1"/>
      <c r="C27" s="1"/>
      <c r="D27" s="1"/>
      <c r="E27" s="1"/>
    </row>
    <row r="28" spans="1:6" x14ac:dyDescent="0.2">
      <c r="A28" s="1"/>
      <c r="B28" s="1"/>
      <c r="C28" s="1"/>
      <c r="D28" s="1"/>
      <c r="E28" s="1"/>
    </row>
    <row r="29" spans="1:6" x14ac:dyDescent="0.2">
      <c r="A29" s="1"/>
      <c r="B29" s="1"/>
      <c r="C29" s="1"/>
      <c r="D29" s="1"/>
      <c r="E29" s="1"/>
    </row>
    <row r="30" spans="1:6" x14ac:dyDescent="0.2">
      <c r="A30" s="1"/>
      <c r="B30" s="1"/>
      <c r="C30" s="1"/>
      <c r="D30" s="1"/>
      <c r="E30" s="1"/>
    </row>
    <row r="31" spans="1:6" x14ac:dyDescent="0.2">
      <c r="A31" s="1"/>
      <c r="B31" s="1"/>
      <c r="C31" s="1"/>
      <c r="D31" s="1"/>
      <c r="E31" s="1"/>
    </row>
    <row r="32" spans="1:6" x14ac:dyDescent="0.2">
      <c r="A32" s="1"/>
      <c r="B32" s="1"/>
      <c r="C32" s="1"/>
      <c r="D32" s="1"/>
      <c r="E32" s="1"/>
    </row>
  </sheetData>
  <conditionalFormatting sqref="D10:D21">
    <cfRule type="cellIs" dxfId="141" priority="71" operator="equal">
      <formula>0</formula>
    </cfRule>
  </conditionalFormatting>
  <conditionalFormatting sqref="A10:D21">
    <cfRule type="expression" dxfId="140" priority="70">
      <formula>EVEN(ROW())=ROW()</formula>
    </cfRule>
  </conditionalFormatting>
  <conditionalFormatting sqref="E10">
    <cfRule type="expression" dxfId="139" priority="63">
      <formula>SEARCH("Oppgaver: ",E10:E21)</formula>
    </cfRule>
    <cfRule type="expression" dxfId="138" priority="64">
      <formula>SEARCH("Logg: ",E10:E21)</formula>
    </cfRule>
    <cfRule type="expression" dxfId="137" priority="65">
      <formula>SEARCH("Logg/Oppgaver: ",E10:E21)</formula>
    </cfRule>
    <cfRule type="expression" dxfId="136" priority="66">
      <formula>SEARCH("Administrativt: ",E10:E21)</formula>
    </cfRule>
    <cfRule type="expression" dxfId="135" priority="67">
      <formula>SEARCH("Utvikling: ",E10:E21)</formula>
    </cfRule>
    <cfRule type="expression" dxfId="134" priority="68">
      <formula>SEARCH("Teori: ",E10:E21)</formula>
    </cfRule>
    <cfRule type="expression" dxfId="133" priority="69">
      <formula>EVEN(ROW())=ROW()</formula>
    </cfRule>
  </conditionalFormatting>
  <conditionalFormatting sqref="F20 E11:E21 E23:E24">
    <cfRule type="expression" dxfId="132" priority="56">
      <formula>SEARCH("Oppgaver: ",E11:E27)</formula>
    </cfRule>
    <cfRule type="expression" dxfId="131" priority="57">
      <formula>SEARCH("Logg: ",E11:E27)</formula>
    </cfRule>
    <cfRule type="expression" dxfId="130" priority="58">
      <formula>SEARCH("Logg/Oppgaver: ",E11:E27)</formula>
    </cfRule>
    <cfRule type="expression" dxfId="129" priority="59">
      <formula>SEARCH("Administrativt: ",E11:E27)</formula>
    </cfRule>
    <cfRule type="expression" dxfId="128" priority="60">
      <formula>SEARCH("Utvikling: ",E11:E27)</formula>
    </cfRule>
    <cfRule type="expression" dxfId="127" priority="61">
      <formula>SEARCH("Teori: ",E11:E27)</formula>
    </cfRule>
    <cfRule type="expression" dxfId="126" priority="62">
      <formula>EVEN(ROW())=ROW()</formula>
    </cfRule>
  </conditionalFormatting>
  <conditionalFormatting sqref="F18">
    <cfRule type="expression" dxfId="125" priority="49">
      <formula>SEARCH("Oppgaver: ",F18:F34)</formula>
    </cfRule>
    <cfRule type="expression" dxfId="124" priority="50">
      <formula>SEARCH("Logg: ",F18:F34)</formula>
    </cfRule>
    <cfRule type="expression" dxfId="123" priority="51">
      <formula>SEARCH("Logg/Oppgaver: ",F18:F34)</formula>
    </cfRule>
    <cfRule type="expression" dxfId="122" priority="52">
      <formula>SEARCH("Administrativt: ",F18:F34)</formula>
    </cfRule>
    <cfRule type="expression" dxfId="121" priority="53">
      <formula>SEARCH("Utvikling: ",F18:F34)</formula>
    </cfRule>
    <cfRule type="expression" dxfId="120" priority="54">
      <formula>SEARCH("Teori: ",F18:F34)</formula>
    </cfRule>
    <cfRule type="expression" dxfId="119" priority="55">
      <formula>EVEN(ROW())=ROW()</formula>
    </cfRule>
  </conditionalFormatting>
  <conditionalFormatting sqref="F16">
    <cfRule type="expression" dxfId="118" priority="42">
      <formula>SEARCH("Oppgaver: ",F16:F32)</formula>
    </cfRule>
    <cfRule type="expression" dxfId="117" priority="43">
      <formula>SEARCH("Logg: ",F16:F32)</formula>
    </cfRule>
    <cfRule type="expression" dxfId="116" priority="44">
      <formula>SEARCH("Logg/Oppgaver: ",F16:F32)</formula>
    </cfRule>
    <cfRule type="expression" dxfId="115" priority="45">
      <formula>SEARCH("Administrativt: ",F16:F32)</formula>
    </cfRule>
    <cfRule type="expression" dxfId="114" priority="46">
      <formula>SEARCH("Utvikling: ",F16:F32)</formula>
    </cfRule>
    <cfRule type="expression" dxfId="113" priority="47">
      <formula>SEARCH("Teori: ",F16:F32)</formula>
    </cfRule>
    <cfRule type="expression" dxfId="112" priority="48">
      <formula>EVEN(ROW())=ROW()</formula>
    </cfRule>
  </conditionalFormatting>
  <conditionalFormatting sqref="F14">
    <cfRule type="expression" dxfId="111" priority="35">
      <formula>SEARCH("Oppgaver: ",F14:F30)</formula>
    </cfRule>
    <cfRule type="expression" dxfId="110" priority="36">
      <formula>SEARCH("Logg: ",F14:F30)</formula>
    </cfRule>
    <cfRule type="expression" dxfId="109" priority="37">
      <formula>SEARCH("Logg/Oppgaver: ",F14:F30)</formula>
    </cfRule>
    <cfRule type="expression" dxfId="108" priority="38">
      <formula>SEARCH("Administrativt: ",F14:F30)</formula>
    </cfRule>
    <cfRule type="expression" dxfId="107" priority="39">
      <formula>SEARCH("Utvikling: ",F14:F30)</formula>
    </cfRule>
    <cfRule type="expression" dxfId="106" priority="40">
      <formula>SEARCH("Teori: ",F14:F30)</formula>
    </cfRule>
    <cfRule type="expression" dxfId="105" priority="41">
      <formula>EVEN(ROW())=ROW()</formula>
    </cfRule>
  </conditionalFormatting>
  <conditionalFormatting sqref="F12">
    <cfRule type="expression" dxfId="104" priority="28">
      <formula>SEARCH("Oppgaver: ",F12:F28)</formula>
    </cfRule>
    <cfRule type="expression" dxfId="103" priority="29">
      <formula>SEARCH("Logg: ",F12:F28)</formula>
    </cfRule>
    <cfRule type="expression" dxfId="102" priority="30">
      <formula>SEARCH("Logg/Oppgaver: ",F12:F28)</formula>
    </cfRule>
    <cfRule type="expression" dxfId="101" priority="31">
      <formula>SEARCH("Administrativt: ",F12:F28)</formula>
    </cfRule>
    <cfRule type="expression" dxfId="100" priority="32">
      <formula>SEARCH("Utvikling: ",F12:F28)</formula>
    </cfRule>
    <cfRule type="expression" dxfId="99" priority="33">
      <formula>SEARCH("Teori: ",F12:F28)</formula>
    </cfRule>
    <cfRule type="expression" dxfId="98" priority="34">
      <formula>EVEN(ROW())=ROW()</formula>
    </cfRule>
  </conditionalFormatting>
  <conditionalFormatting sqref="F10">
    <cfRule type="expression" dxfId="97" priority="21">
      <formula>SEARCH("Oppgaver: ",F10:F21)</formula>
    </cfRule>
    <cfRule type="expression" dxfId="96" priority="22">
      <formula>SEARCH("Logg: ",F10:F21)</formula>
    </cfRule>
    <cfRule type="expression" dxfId="95" priority="23">
      <formula>SEARCH("Logg/Oppgaver: ",F10:F21)</formula>
    </cfRule>
    <cfRule type="expression" dxfId="94" priority="24">
      <formula>SEARCH("Administrativt: ",F10:F21)</formula>
    </cfRule>
    <cfRule type="expression" dxfId="93" priority="25">
      <formula>SEARCH("Utvikling: ",F10:F21)</formula>
    </cfRule>
    <cfRule type="expression" dxfId="92" priority="26">
      <formula>SEARCH("Teori: ",F10:F21)</formula>
    </cfRule>
    <cfRule type="expression" dxfId="91" priority="27">
      <formula>EVEN(ROW())=ROW()</formula>
    </cfRule>
  </conditionalFormatting>
  <conditionalFormatting sqref="D22">
    <cfRule type="cellIs" dxfId="90" priority="20" operator="equal">
      <formula>0</formula>
    </cfRule>
  </conditionalFormatting>
  <conditionalFormatting sqref="A22:D22">
    <cfRule type="expression" dxfId="89" priority="19">
      <formula>EVEN(ROW())=ROW()</formula>
    </cfRule>
  </conditionalFormatting>
  <conditionalFormatting sqref="E22:F22">
    <cfRule type="expression" dxfId="88" priority="12">
      <formula>SEARCH("Oppgaver: ",E22:E38)</formula>
    </cfRule>
    <cfRule type="expression" dxfId="87" priority="13">
      <formula>SEARCH("Logg: ",E22:E38)</formula>
    </cfRule>
    <cfRule type="expression" dxfId="86" priority="14">
      <formula>SEARCH("Logg/Oppgaver: ",E22:E38)</formula>
    </cfRule>
    <cfRule type="expression" dxfId="85" priority="15">
      <formula>SEARCH("Administrativt: ",E22:E38)</formula>
    </cfRule>
    <cfRule type="expression" dxfId="84" priority="16">
      <formula>SEARCH("Utvikling: ",E22:E38)</formula>
    </cfRule>
    <cfRule type="expression" dxfId="83" priority="17">
      <formula>SEARCH("Teori: ",E22:E38)</formula>
    </cfRule>
    <cfRule type="expression" dxfId="82" priority="18">
      <formula>EVEN(ROW())=ROW()</formula>
    </cfRule>
  </conditionalFormatting>
  <conditionalFormatting sqref="D23:D24">
    <cfRule type="cellIs" dxfId="81" priority="11" operator="equal">
      <formula>0</formula>
    </cfRule>
  </conditionalFormatting>
  <conditionalFormatting sqref="A23:D24">
    <cfRule type="expression" dxfId="80" priority="10">
      <formula>EVEN(ROW())=ROW()</formula>
    </cfRule>
  </conditionalFormatting>
  <conditionalFormatting sqref="E25:E26">
    <cfRule type="expression" dxfId="79" priority="3">
      <formula>SEARCH("Oppgaver: ",E25:E41)</formula>
    </cfRule>
    <cfRule type="expression" dxfId="78" priority="4">
      <formula>SEARCH("Logg: ",E25:E41)</formula>
    </cfRule>
    <cfRule type="expression" dxfId="77" priority="5">
      <formula>SEARCH("Logg/Oppgaver: ",E25:E41)</formula>
    </cfRule>
    <cfRule type="expression" dxfId="76" priority="6">
      <formula>SEARCH("Administrativt: ",E25:E41)</formula>
    </cfRule>
    <cfRule type="expression" dxfId="75" priority="7">
      <formula>SEARCH("Utvikling: ",E25:E41)</formula>
    </cfRule>
    <cfRule type="expression" dxfId="74" priority="8">
      <formula>SEARCH("Teori: ",E25:E41)</formula>
    </cfRule>
    <cfRule type="expression" dxfId="73" priority="9">
      <formula>EVEN(ROW())=ROW()</formula>
    </cfRule>
  </conditionalFormatting>
  <conditionalFormatting sqref="D25:D26">
    <cfRule type="cellIs" dxfId="72" priority="2" operator="equal">
      <formula>0</formula>
    </cfRule>
  </conditionalFormatting>
  <conditionalFormatting sqref="A25:D26">
    <cfRule type="expression" dxfId="71" priority="1">
      <formula>EVEN(ROW())=ROW()</formula>
    </cfRule>
  </conditionalFormatting>
  <dataValidations count="1">
    <dataValidation errorStyle="information" allowBlank="1" showInputMessage="1" sqref="F10 F20 F18 F16 F14 F12 F22 E10:E26" xr:uid="{CEA47B7B-2534-4D5F-A29D-42E4A59C9870}"/>
  </dataValidations>
  <pageMargins left="0.25" right="0.25" top="0.75" bottom="0.75" header="0.3" footer="0.3"/>
  <pageSetup paperSize="9" scale="90" fitToHeight="0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DD028-D49D-4DCB-8C8C-FC39BE31073D}">
  <sheetPr codeName="Sheet10">
    <pageSetUpPr fitToPage="1"/>
  </sheetPr>
  <dimension ref="A1:F32"/>
  <sheetViews>
    <sheetView tabSelected="1" topLeftCell="A3" zoomScale="140" zoomScaleNormal="140" workbookViewId="0">
      <selection activeCell="E21" sqref="E21"/>
    </sheetView>
  </sheetViews>
  <sheetFormatPr baseColWidth="10" defaultColWidth="11.5" defaultRowHeight="15" x14ac:dyDescent="0.2"/>
  <cols>
    <col min="1" max="1" width="21.33203125" customWidth="1"/>
    <col min="2" max="2" width="21.5" customWidth="1"/>
    <col min="3" max="3" width="13.6640625" customWidth="1"/>
    <col min="4" max="4" width="14.6640625" customWidth="1"/>
    <col min="5" max="5" width="29.5" customWidth="1"/>
    <col min="6" max="6" width="9.6640625" customWidth="1"/>
  </cols>
  <sheetData>
    <row r="1" spans="1:6" ht="26" thickTop="1" thickBot="1" x14ac:dyDescent="0.35">
      <c r="A1" s="21" t="s">
        <v>53</v>
      </c>
      <c r="B1" s="10"/>
      <c r="C1" s="22"/>
      <c r="D1" s="11"/>
      <c r="E1" s="11"/>
      <c r="F1" s="23"/>
    </row>
    <row r="2" spans="1:6" ht="17" thickTop="1" thickBot="1" x14ac:dyDescent="0.25"/>
    <row r="3" spans="1:6" ht="33" thickBot="1" x14ac:dyDescent="0.25">
      <c r="A3" s="31" t="s">
        <v>0</v>
      </c>
      <c r="B3" s="30" t="s">
        <v>1</v>
      </c>
      <c r="C3" s="33" t="s">
        <v>2</v>
      </c>
      <c r="D3" s="32" t="s">
        <v>3</v>
      </c>
      <c r="E3" s="29" t="s">
        <v>4</v>
      </c>
    </row>
    <row r="4" spans="1:6" ht="16" thickBot="1" x14ac:dyDescent="0.25">
      <c r="A4" s="35">
        <f>DATE(2021,2,22)</f>
        <v>44249</v>
      </c>
      <c r="B4" s="34">
        <f>A4+6</f>
        <v>44255</v>
      </c>
      <c r="C4" s="56" t="s">
        <v>5</v>
      </c>
      <c r="D4" s="26">
        <f>SUMIF($E$10:$E$26,"Teori: *",$D$10:$D$26)</f>
        <v>0.14374999999999993</v>
      </c>
      <c r="E4" s="28">
        <f ca="1">SUM(PrevSheet(E4)+D4)</f>
        <v>0.28888888888888875</v>
      </c>
    </row>
    <row r="5" spans="1:6" ht="33" thickBot="1" x14ac:dyDescent="0.25">
      <c r="A5" s="54" t="str">
        <f>CONCATENATE("Total tid brukt i uke ", MID(A1,37,1))</f>
        <v>Total tid brukt i uke 8</v>
      </c>
      <c r="B5" s="55" t="str">
        <f>CONCATENATE("Total tid prosjekt inntil uke ", MID(A1,37,1))</f>
        <v>Total tid prosjekt inntil uke 8</v>
      </c>
      <c r="C5" s="57" t="s">
        <v>6</v>
      </c>
      <c r="D5" s="26">
        <f>SUMIF($E$10:$E$26,"Utvikling: *",$D$10:$D$26)</f>
        <v>0.2506944444444445</v>
      </c>
      <c r="E5" s="28">
        <f ca="1">SUM(PrevSheet(E5)+D5)</f>
        <v>0.2506944444444445</v>
      </c>
    </row>
    <row r="6" spans="1:6" ht="16" thickBot="1" x14ac:dyDescent="0.25">
      <c r="A6" s="25">
        <f>SUM($D$4:$D$7)</f>
        <v>0.52013888888888871</v>
      </c>
      <c r="B6" s="24">
        <f ca="1">SUM(PrevSheet(B6)+A6)</f>
        <v>2.5993055555555555</v>
      </c>
      <c r="C6" s="58" t="s">
        <v>7</v>
      </c>
      <c r="D6" s="26">
        <f>SUMIF($E$10:$E$26,"Administrativt: *",$D$10:$D$26)</f>
        <v>0.10138888888888886</v>
      </c>
      <c r="E6" s="28">
        <f ca="1">SUM(PrevSheet(E6)+D6)</f>
        <v>0.39930555555555541</v>
      </c>
    </row>
    <row r="7" spans="1:6" ht="20.75" customHeight="1" thickBot="1" x14ac:dyDescent="0.25">
      <c r="A7" s="9"/>
      <c r="B7" s="4"/>
      <c r="C7" s="59" t="s">
        <v>8</v>
      </c>
      <c r="D7" s="27">
        <f>SUM(SUMIF($E$10:$E$26,"Logg: *",$D$10:$D$26),SUMIF($E$10:$E$26,"Oppgaver: *",$D$10:$D$26),SUMIF($E$10:$E$26,"Logg/Oppgaver: *",$D$10:$D$26),)</f>
        <v>2.4305555555555469E-2</v>
      </c>
      <c r="E7" s="28">
        <f ca="1">SUM(PrevSheet(E7)+D7)</f>
        <v>1.6604166666666669</v>
      </c>
    </row>
    <row r="8" spans="1:6" ht="16" thickBot="1" x14ac:dyDescent="0.25">
      <c r="A8" s="5"/>
      <c r="B8" s="3"/>
      <c r="C8" s="8"/>
      <c r="D8" s="3"/>
      <c r="E8" s="3"/>
      <c r="F8" s="20"/>
    </row>
    <row r="9" spans="1:6" ht="16" thickBot="1" x14ac:dyDescent="0.25">
      <c r="A9" s="6" t="s">
        <v>9</v>
      </c>
      <c r="B9" s="2" t="s">
        <v>10</v>
      </c>
      <c r="C9" s="2" t="s">
        <v>11</v>
      </c>
      <c r="D9" s="2" t="s">
        <v>12</v>
      </c>
      <c r="E9" s="13" t="s">
        <v>13</v>
      </c>
      <c r="F9" s="12" t="s">
        <v>16</v>
      </c>
    </row>
    <row r="10" spans="1:6" x14ac:dyDescent="0.2">
      <c r="A10" s="36">
        <f>DATE(2021,2,15)</f>
        <v>44242</v>
      </c>
      <c r="B10" s="45">
        <v>0.40625</v>
      </c>
      <c r="C10" s="45">
        <v>0.42777777777777781</v>
      </c>
      <c r="D10" s="45">
        <f>(C10-B10)</f>
        <v>2.1527777777777812E-2</v>
      </c>
      <c r="E10" s="14" t="s">
        <v>54</v>
      </c>
      <c r="F10" s="40"/>
    </row>
    <row r="11" spans="1:6" x14ac:dyDescent="0.2">
      <c r="A11" s="37">
        <f>DATE(2021,2,22)</f>
        <v>44249</v>
      </c>
      <c r="B11" s="46">
        <v>0.52777777777777779</v>
      </c>
      <c r="C11" s="46">
        <v>0.54166666666666663</v>
      </c>
      <c r="D11" s="46">
        <f>(C11-B11)</f>
        <v>1.388888888888884E-2</v>
      </c>
      <c r="E11" s="15" t="s">
        <v>55</v>
      </c>
      <c r="F11" s="41"/>
    </row>
    <row r="12" spans="1:6" x14ac:dyDescent="0.2">
      <c r="A12" s="38">
        <f>DATE(2021,2,22)</f>
        <v>44249</v>
      </c>
      <c r="B12" s="47">
        <v>0.78125</v>
      </c>
      <c r="C12" s="47">
        <v>0.91319444444444453</v>
      </c>
      <c r="D12" s="47">
        <f>(C12-B12)</f>
        <v>0.13194444444444453</v>
      </c>
      <c r="E12" s="16" t="s">
        <v>56</v>
      </c>
      <c r="F12" s="40"/>
    </row>
    <row r="13" spans="1:6" ht="19.25" customHeight="1" x14ac:dyDescent="0.2">
      <c r="A13" s="42">
        <f>DATE(2021,2,23)</f>
        <v>44250</v>
      </c>
      <c r="B13" s="48">
        <v>0.48958333333333331</v>
      </c>
      <c r="C13" s="48">
        <v>0.56666666666666665</v>
      </c>
      <c r="D13" s="51">
        <f t="shared" ref="D13:D26" si="0">(C13-B13)</f>
        <v>7.7083333333333337E-2</v>
      </c>
      <c r="E13" s="15" t="s">
        <v>58</v>
      </c>
      <c r="F13" s="41"/>
    </row>
    <row r="14" spans="1:6" x14ac:dyDescent="0.2">
      <c r="A14" s="43">
        <f>DATE(2021,2,23)</f>
        <v>44250</v>
      </c>
      <c r="B14" s="49">
        <v>0.58333333333333337</v>
      </c>
      <c r="C14" s="49">
        <v>0.62152777777777779</v>
      </c>
      <c r="D14" s="47">
        <f t="shared" si="0"/>
        <v>3.819444444444442E-2</v>
      </c>
      <c r="E14" s="17" t="s">
        <v>57</v>
      </c>
      <c r="F14" s="40"/>
    </row>
    <row r="15" spans="1:6" x14ac:dyDescent="0.2">
      <c r="A15" s="42">
        <f>DATE(2021,2,23)</f>
        <v>44250</v>
      </c>
      <c r="B15" s="48">
        <v>0.63194444444444442</v>
      </c>
      <c r="C15" s="48">
        <v>0.72916666666666663</v>
      </c>
      <c r="D15" s="52">
        <f t="shared" si="0"/>
        <v>9.722222222222221E-2</v>
      </c>
      <c r="E15" s="18" t="s">
        <v>59</v>
      </c>
      <c r="F15" s="41"/>
    </row>
    <row r="16" spans="1:6" x14ac:dyDescent="0.2">
      <c r="A16" s="39">
        <f>DATE(2021,2,23)</f>
        <v>44250</v>
      </c>
      <c r="B16" s="49">
        <v>0.78125</v>
      </c>
      <c r="C16" s="49">
        <v>0.79166666666666663</v>
      </c>
      <c r="D16" s="47">
        <f t="shared" si="0"/>
        <v>1.041666666666663E-2</v>
      </c>
      <c r="E16" s="17" t="s">
        <v>60</v>
      </c>
      <c r="F16" s="40"/>
    </row>
    <row r="17" spans="1:6" x14ac:dyDescent="0.2">
      <c r="A17" s="42">
        <f>DATE(2021,2,24)</f>
        <v>44251</v>
      </c>
      <c r="B17" s="48">
        <v>0.46875</v>
      </c>
      <c r="C17" s="48">
        <v>0.50138888888888888</v>
      </c>
      <c r="D17" s="52">
        <f t="shared" si="0"/>
        <v>3.2638888888888884E-2</v>
      </c>
      <c r="E17" s="18" t="s">
        <v>61</v>
      </c>
      <c r="F17" s="41"/>
    </row>
    <row r="18" spans="1:6" x14ac:dyDescent="0.2">
      <c r="A18" s="39">
        <f>DATE(2021,2,24)</f>
        <v>44251</v>
      </c>
      <c r="B18" s="49">
        <v>0.625</v>
      </c>
      <c r="C18" s="49">
        <v>0.66666666666666663</v>
      </c>
      <c r="D18" s="47">
        <f t="shared" si="0"/>
        <v>4.166666666666663E-2</v>
      </c>
      <c r="E18" s="17" t="s">
        <v>62</v>
      </c>
      <c r="F18" s="40"/>
    </row>
    <row r="19" spans="1:6" x14ac:dyDescent="0.2">
      <c r="A19" s="42">
        <f>DATE(2021,2,25)</f>
        <v>44252</v>
      </c>
      <c r="B19" s="48">
        <v>0.41666666666666669</v>
      </c>
      <c r="C19" s="48">
        <v>0.45833333333333331</v>
      </c>
      <c r="D19" s="52">
        <f t="shared" si="0"/>
        <v>4.166666666666663E-2</v>
      </c>
      <c r="E19" s="18" t="s">
        <v>63</v>
      </c>
      <c r="F19" s="41" t="s">
        <v>64</v>
      </c>
    </row>
    <row r="20" spans="1:6" x14ac:dyDescent="0.2">
      <c r="A20" s="39">
        <f>DATE(2021,2,26)</f>
        <v>44253</v>
      </c>
      <c r="B20" s="49">
        <v>0.64583333333333337</v>
      </c>
      <c r="C20" s="49">
        <v>0.65972222222222221</v>
      </c>
      <c r="D20" s="47">
        <f t="shared" si="0"/>
        <v>1.388888888888884E-2</v>
      </c>
      <c r="E20" s="17" t="s">
        <v>65</v>
      </c>
      <c r="F20" s="40"/>
    </row>
    <row r="21" spans="1:6" ht="16" thickBot="1" x14ac:dyDescent="0.25">
      <c r="A21" s="44"/>
      <c r="B21" s="61"/>
      <c r="C21" s="61"/>
      <c r="D21" s="53">
        <f t="shared" si="0"/>
        <v>0</v>
      </c>
      <c r="E21" s="19"/>
      <c r="F21" s="60"/>
    </row>
    <row r="22" spans="1:6" x14ac:dyDescent="0.2">
      <c r="A22" s="39"/>
      <c r="B22" s="49"/>
      <c r="C22" s="49"/>
      <c r="D22" s="47">
        <f t="shared" si="0"/>
        <v>0</v>
      </c>
      <c r="E22" s="17"/>
      <c r="F22" s="40"/>
    </row>
    <row r="23" spans="1:6" ht="16" thickBot="1" x14ac:dyDescent="0.25">
      <c r="A23" s="44"/>
      <c r="B23" s="61"/>
      <c r="C23" s="61"/>
      <c r="D23" s="53">
        <f t="shared" si="0"/>
        <v>0</v>
      </c>
      <c r="E23" s="19"/>
      <c r="F23" s="60"/>
    </row>
    <row r="24" spans="1:6" ht="16" thickBot="1" x14ac:dyDescent="0.25">
      <c r="A24" s="44"/>
      <c r="B24" s="61"/>
      <c r="C24" s="61"/>
      <c r="D24" s="53">
        <f t="shared" si="0"/>
        <v>0</v>
      </c>
      <c r="E24" s="19"/>
      <c r="F24" s="60"/>
    </row>
    <row r="25" spans="1:6" ht="16" thickBot="1" x14ac:dyDescent="0.25">
      <c r="A25" s="44"/>
      <c r="B25" s="61"/>
      <c r="C25" s="61"/>
      <c r="D25" s="53">
        <f t="shared" si="0"/>
        <v>0</v>
      </c>
      <c r="E25" s="19"/>
      <c r="F25" s="60"/>
    </row>
    <row r="26" spans="1:6" ht="16" thickBot="1" x14ac:dyDescent="0.25">
      <c r="A26" s="44"/>
      <c r="B26" s="61"/>
      <c r="C26" s="61"/>
      <c r="D26" s="53">
        <f t="shared" si="0"/>
        <v>0</v>
      </c>
      <c r="E26" s="19"/>
      <c r="F26" s="60"/>
    </row>
    <row r="27" spans="1:6" ht="22" thickBot="1" x14ac:dyDescent="0.3">
      <c r="A27" s="7" t="s">
        <v>14</v>
      </c>
      <c r="B27" s="1"/>
      <c r="C27" s="1"/>
      <c r="D27" s="1"/>
      <c r="E27" s="1"/>
    </row>
    <row r="28" spans="1:6" x14ac:dyDescent="0.2">
      <c r="A28" s="1"/>
      <c r="B28" s="1"/>
      <c r="C28" s="1"/>
      <c r="D28" s="1"/>
      <c r="E28" s="1"/>
    </row>
    <row r="29" spans="1:6" x14ac:dyDescent="0.2">
      <c r="A29" s="1"/>
      <c r="B29" s="1"/>
      <c r="C29" s="1"/>
      <c r="D29" s="1"/>
      <c r="E29" s="1"/>
    </row>
    <row r="30" spans="1:6" x14ac:dyDescent="0.2">
      <c r="A30" s="1"/>
      <c r="B30" s="1"/>
      <c r="C30" s="1"/>
      <c r="D30" s="1"/>
      <c r="E30" s="1"/>
    </row>
    <row r="31" spans="1:6" x14ac:dyDescent="0.2">
      <c r="A31" s="1"/>
      <c r="B31" s="1"/>
      <c r="C31" s="1"/>
      <c r="D31" s="1"/>
      <c r="E31" s="1"/>
    </row>
    <row r="32" spans="1:6" x14ac:dyDescent="0.2">
      <c r="A32" s="1"/>
      <c r="B32" s="1"/>
      <c r="C32" s="1"/>
      <c r="D32" s="1"/>
      <c r="E32" s="1"/>
    </row>
  </sheetData>
  <conditionalFormatting sqref="D10:D21">
    <cfRule type="cellIs" dxfId="70" priority="71" operator="equal">
      <formula>0</formula>
    </cfRule>
  </conditionalFormatting>
  <conditionalFormatting sqref="A10:D21">
    <cfRule type="expression" dxfId="69" priority="70">
      <formula>EVEN(ROW())=ROW()</formula>
    </cfRule>
  </conditionalFormatting>
  <conditionalFormatting sqref="E10">
    <cfRule type="expression" dxfId="68" priority="63">
      <formula>SEARCH("Oppgaver: ",E10:E21)</formula>
    </cfRule>
    <cfRule type="expression" dxfId="67" priority="64">
      <formula>SEARCH("Logg: ",E10:E21)</formula>
    </cfRule>
    <cfRule type="expression" dxfId="66" priority="65">
      <formula>SEARCH("Logg/Oppgaver: ",E10:E21)</formula>
    </cfRule>
    <cfRule type="expression" dxfId="65" priority="66">
      <formula>SEARCH("Administrativt: ",E10:E21)</formula>
    </cfRule>
    <cfRule type="expression" dxfId="64" priority="67">
      <formula>SEARCH("Utvikling: ",E10:E21)</formula>
    </cfRule>
    <cfRule type="expression" dxfId="63" priority="68">
      <formula>SEARCH("Teori: ",E10:E21)</formula>
    </cfRule>
    <cfRule type="expression" dxfId="62" priority="69">
      <formula>EVEN(ROW())=ROW()</formula>
    </cfRule>
  </conditionalFormatting>
  <conditionalFormatting sqref="F20 E11:E21 E23:E24">
    <cfRule type="expression" dxfId="61" priority="56">
      <formula>SEARCH("Oppgaver: ",E11:E27)</formula>
    </cfRule>
    <cfRule type="expression" dxfId="60" priority="57">
      <formula>SEARCH("Logg: ",E11:E27)</formula>
    </cfRule>
    <cfRule type="expression" dxfId="59" priority="58">
      <formula>SEARCH("Logg/Oppgaver: ",E11:E27)</formula>
    </cfRule>
    <cfRule type="expression" dxfId="58" priority="59">
      <formula>SEARCH("Administrativt: ",E11:E27)</formula>
    </cfRule>
    <cfRule type="expression" dxfId="57" priority="60">
      <formula>SEARCH("Utvikling: ",E11:E27)</formula>
    </cfRule>
    <cfRule type="expression" dxfId="56" priority="61">
      <formula>SEARCH("Teori: ",E11:E27)</formula>
    </cfRule>
    <cfRule type="expression" dxfId="55" priority="62">
      <formula>EVEN(ROW())=ROW()</formula>
    </cfRule>
  </conditionalFormatting>
  <conditionalFormatting sqref="F18">
    <cfRule type="expression" dxfId="54" priority="49">
      <formula>SEARCH("Oppgaver: ",F18:F34)</formula>
    </cfRule>
    <cfRule type="expression" dxfId="53" priority="50">
      <formula>SEARCH("Logg: ",F18:F34)</formula>
    </cfRule>
    <cfRule type="expression" dxfId="52" priority="51">
      <formula>SEARCH("Logg/Oppgaver: ",F18:F34)</formula>
    </cfRule>
    <cfRule type="expression" dxfId="51" priority="52">
      <formula>SEARCH("Administrativt: ",F18:F34)</formula>
    </cfRule>
    <cfRule type="expression" dxfId="50" priority="53">
      <formula>SEARCH("Utvikling: ",F18:F34)</formula>
    </cfRule>
    <cfRule type="expression" dxfId="49" priority="54">
      <formula>SEARCH("Teori: ",F18:F34)</formula>
    </cfRule>
    <cfRule type="expression" dxfId="48" priority="55">
      <formula>EVEN(ROW())=ROW()</formula>
    </cfRule>
  </conditionalFormatting>
  <conditionalFormatting sqref="F16">
    <cfRule type="expression" dxfId="47" priority="42">
      <formula>SEARCH("Oppgaver: ",F16:F32)</formula>
    </cfRule>
    <cfRule type="expression" dxfId="46" priority="43">
      <formula>SEARCH("Logg: ",F16:F32)</formula>
    </cfRule>
    <cfRule type="expression" dxfId="45" priority="44">
      <formula>SEARCH("Logg/Oppgaver: ",F16:F32)</formula>
    </cfRule>
    <cfRule type="expression" dxfId="44" priority="45">
      <formula>SEARCH("Administrativt: ",F16:F32)</formula>
    </cfRule>
    <cfRule type="expression" dxfId="43" priority="46">
      <formula>SEARCH("Utvikling: ",F16:F32)</formula>
    </cfRule>
    <cfRule type="expression" dxfId="42" priority="47">
      <formula>SEARCH("Teori: ",F16:F32)</formula>
    </cfRule>
    <cfRule type="expression" dxfId="41" priority="48">
      <formula>EVEN(ROW())=ROW()</formula>
    </cfRule>
  </conditionalFormatting>
  <conditionalFormatting sqref="F14">
    <cfRule type="expression" dxfId="40" priority="35">
      <formula>SEARCH("Oppgaver: ",F14:F30)</formula>
    </cfRule>
    <cfRule type="expression" dxfId="39" priority="36">
      <formula>SEARCH("Logg: ",F14:F30)</formula>
    </cfRule>
    <cfRule type="expression" dxfId="38" priority="37">
      <formula>SEARCH("Logg/Oppgaver: ",F14:F30)</formula>
    </cfRule>
    <cfRule type="expression" dxfId="37" priority="38">
      <formula>SEARCH("Administrativt: ",F14:F30)</formula>
    </cfRule>
    <cfRule type="expression" dxfId="36" priority="39">
      <formula>SEARCH("Utvikling: ",F14:F30)</formula>
    </cfRule>
    <cfRule type="expression" dxfId="35" priority="40">
      <formula>SEARCH("Teori: ",F14:F30)</formula>
    </cfRule>
    <cfRule type="expression" dxfId="34" priority="41">
      <formula>EVEN(ROW())=ROW()</formula>
    </cfRule>
  </conditionalFormatting>
  <conditionalFormatting sqref="F12">
    <cfRule type="expression" dxfId="33" priority="28">
      <formula>SEARCH("Oppgaver: ",F12:F28)</formula>
    </cfRule>
    <cfRule type="expression" dxfId="32" priority="29">
      <formula>SEARCH("Logg: ",F12:F28)</formula>
    </cfRule>
    <cfRule type="expression" dxfId="31" priority="30">
      <formula>SEARCH("Logg/Oppgaver: ",F12:F28)</formula>
    </cfRule>
    <cfRule type="expression" dxfId="30" priority="31">
      <formula>SEARCH("Administrativt: ",F12:F28)</formula>
    </cfRule>
    <cfRule type="expression" dxfId="29" priority="32">
      <formula>SEARCH("Utvikling: ",F12:F28)</formula>
    </cfRule>
    <cfRule type="expression" dxfId="28" priority="33">
      <formula>SEARCH("Teori: ",F12:F28)</formula>
    </cfRule>
    <cfRule type="expression" dxfId="27" priority="34">
      <formula>EVEN(ROW())=ROW()</formula>
    </cfRule>
  </conditionalFormatting>
  <conditionalFormatting sqref="F10">
    <cfRule type="expression" dxfId="26" priority="21">
      <formula>SEARCH("Oppgaver: ",F10:F21)</formula>
    </cfRule>
    <cfRule type="expression" dxfId="25" priority="22">
      <formula>SEARCH("Logg: ",F10:F21)</formula>
    </cfRule>
    <cfRule type="expression" dxfId="24" priority="23">
      <formula>SEARCH("Logg/Oppgaver: ",F10:F21)</formula>
    </cfRule>
    <cfRule type="expression" dxfId="23" priority="24">
      <formula>SEARCH("Administrativt: ",F10:F21)</formula>
    </cfRule>
    <cfRule type="expression" dxfId="22" priority="25">
      <formula>SEARCH("Utvikling: ",F10:F21)</formula>
    </cfRule>
    <cfRule type="expression" dxfId="21" priority="26">
      <formula>SEARCH("Teori: ",F10:F21)</formula>
    </cfRule>
    <cfRule type="expression" dxfId="20" priority="27">
      <formula>EVEN(ROW())=ROW()</formula>
    </cfRule>
  </conditionalFormatting>
  <conditionalFormatting sqref="D22">
    <cfRule type="cellIs" dxfId="19" priority="20" operator="equal">
      <formula>0</formula>
    </cfRule>
  </conditionalFormatting>
  <conditionalFormatting sqref="A22:D22">
    <cfRule type="expression" dxfId="18" priority="19">
      <formula>EVEN(ROW())=ROW()</formula>
    </cfRule>
  </conditionalFormatting>
  <conditionalFormatting sqref="E22:F22">
    <cfRule type="expression" dxfId="17" priority="12">
      <formula>SEARCH("Oppgaver: ",E22:E38)</formula>
    </cfRule>
    <cfRule type="expression" dxfId="16" priority="13">
      <formula>SEARCH("Logg: ",E22:E38)</formula>
    </cfRule>
    <cfRule type="expression" dxfId="15" priority="14">
      <formula>SEARCH("Logg/Oppgaver: ",E22:E38)</formula>
    </cfRule>
    <cfRule type="expression" dxfId="14" priority="15">
      <formula>SEARCH("Administrativt: ",E22:E38)</formula>
    </cfRule>
    <cfRule type="expression" dxfId="13" priority="16">
      <formula>SEARCH("Utvikling: ",E22:E38)</formula>
    </cfRule>
    <cfRule type="expression" dxfId="12" priority="17">
      <formula>SEARCH("Teori: ",E22:E38)</formula>
    </cfRule>
    <cfRule type="expression" dxfId="11" priority="18">
      <formula>EVEN(ROW())=ROW()</formula>
    </cfRule>
  </conditionalFormatting>
  <conditionalFormatting sqref="D23:D24">
    <cfRule type="cellIs" dxfId="10" priority="11" operator="equal">
      <formula>0</formula>
    </cfRule>
  </conditionalFormatting>
  <conditionalFormatting sqref="A23:D24">
    <cfRule type="expression" dxfId="9" priority="10">
      <formula>EVEN(ROW())=ROW()</formula>
    </cfRule>
  </conditionalFormatting>
  <conditionalFormatting sqref="E25:E26">
    <cfRule type="expression" dxfId="8" priority="3">
      <formula>SEARCH("Oppgaver: ",E25:E41)</formula>
    </cfRule>
    <cfRule type="expression" dxfId="7" priority="4">
      <formula>SEARCH("Logg: ",E25:E41)</formula>
    </cfRule>
    <cfRule type="expression" dxfId="6" priority="5">
      <formula>SEARCH("Logg/Oppgaver: ",E25:E41)</formula>
    </cfRule>
    <cfRule type="expression" dxfId="5" priority="6">
      <formula>SEARCH("Administrativt: ",E25:E41)</formula>
    </cfRule>
    <cfRule type="expression" dxfId="4" priority="7">
      <formula>SEARCH("Utvikling: ",E25:E41)</formula>
    </cfRule>
    <cfRule type="expression" dxfId="3" priority="8">
      <formula>SEARCH("Teori: ",E25:E41)</formula>
    </cfRule>
    <cfRule type="expression" dxfId="2" priority="9">
      <formula>EVEN(ROW())=ROW()</formula>
    </cfRule>
  </conditionalFormatting>
  <conditionalFormatting sqref="D25:D26">
    <cfRule type="cellIs" dxfId="1" priority="2" operator="equal">
      <formula>0</formula>
    </cfRule>
  </conditionalFormatting>
  <conditionalFormatting sqref="A25:D26">
    <cfRule type="expression" dxfId="0" priority="1">
      <formula>EVEN(ROW())=ROW()</formula>
    </cfRule>
  </conditionalFormatting>
  <dataValidations count="1">
    <dataValidation errorStyle="information" allowBlank="1" showInputMessage="1" sqref="F10 F20 F18 F16 F14 F12 F22 E10:E26" xr:uid="{C68D4360-E71A-4FFE-BCC1-DC71D23A42D5}"/>
  </dataValidations>
  <pageMargins left="0.25" right="0.25" top="0.75" bottom="0.75" header="0.3" footer="0.3"/>
  <pageSetup paperSize="9" scale="90" fitToHeight="0" orientation="portrait" horizontalDpi="1200" verticalDpi="12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5C29FB23202384A9C7D6EC56A47F2AA" ma:contentTypeVersion="12" ma:contentTypeDescription="Create a new document." ma:contentTypeScope="" ma:versionID="53a820c4727cdff6e16d5ae7884ff771">
  <xsd:schema xmlns:xsd="http://www.w3.org/2001/XMLSchema" xmlns:xs="http://www.w3.org/2001/XMLSchema" xmlns:p="http://schemas.microsoft.com/office/2006/metadata/properties" xmlns:ns3="4f5da05e-f710-4b7c-8b8e-c076e7b8ff7a" xmlns:ns4="73036575-aed3-4020-9cb5-002fb21c073e" targetNamespace="http://schemas.microsoft.com/office/2006/metadata/properties" ma:root="true" ma:fieldsID="f4de8e02df9338ba31b786fbecf1db06" ns3:_="" ns4:_="">
    <xsd:import namespace="4f5da05e-f710-4b7c-8b8e-c076e7b8ff7a"/>
    <xsd:import namespace="73036575-aed3-4020-9cb5-002fb21c073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5da05e-f710-4b7c-8b8e-c076e7b8ff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036575-aed3-4020-9cb5-002fb21c073e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A0B85C5-48A1-4485-8C54-7904F928D8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5da05e-f710-4b7c-8b8e-c076e7b8ff7a"/>
    <ds:schemaRef ds:uri="73036575-aed3-4020-9cb5-002fb21c073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AA2C6CC-48A5-46DC-B088-091D732825C0}">
  <ds:schemaRefs>
    <ds:schemaRef ds:uri="http://purl.org/dc/dcmitype/"/>
    <ds:schemaRef ds:uri="73036575-aed3-4020-9cb5-002fb21c073e"/>
    <ds:schemaRef ds:uri="http://purl.org/dc/elements/1.1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4f5da05e-f710-4b7c-8b8e-c076e7b8ff7a"/>
  </ds:schemaRefs>
</ds:datastoreItem>
</file>

<file path=customXml/itemProps3.xml><?xml version="1.0" encoding="utf-8"?>
<ds:datastoreItem xmlns:ds="http://schemas.openxmlformats.org/officeDocument/2006/customXml" ds:itemID="{297EAD69-1315-417C-A013-FB25C2082E2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Regneark</vt:lpstr>
      </vt:variant>
      <vt:variant>
        <vt:i4>6</vt:i4>
      </vt:variant>
    </vt:vector>
  </HeadingPairs>
  <TitlesOfParts>
    <vt:vector size="6" baseType="lpstr">
      <vt:lpstr>template</vt:lpstr>
      <vt:lpstr>Uke4</vt:lpstr>
      <vt:lpstr>Uke5</vt:lpstr>
      <vt:lpstr>Uke6</vt:lpstr>
      <vt:lpstr>Uke7</vt:lpstr>
      <vt:lpstr>Uke8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cp:lastPrinted>2020-04-05T19:24:02Z</cp:lastPrinted>
  <dcterms:created xsi:type="dcterms:W3CDTF">2015-06-05T18:19:34Z</dcterms:created>
  <dcterms:modified xsi:type="dcterms:W3CDTF">2021-02-26T19:58:00Z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0x01010035C29FB23202384A9C7D6EC56A47F2AA</vt:lpwstr>
  </property>
</Properties>
</file>